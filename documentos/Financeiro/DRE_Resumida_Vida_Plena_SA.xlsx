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 2025" sheetId="1" state="visible" r:id="rId1"/>
    <sheet xmlns:r="http://schemas.openxmlformats.org/officeDocument/2006/relationships" name="Comparativo Mensal" sheetId="2" state="visible" r:id="rId2"/>
    <sheet xmlns:r="http://schemas.openxmlformats.org/officeDocument/2006/relationships" name="Indicadores Financeiro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(R$ #,##0.00);&quot;-&quot;"/>
    <numFmt numFmtId="165" formatCode="R$ #,##0.00"/>
  </numFmts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595959"/>
      <sz val="9"/>
    </font>
    <font>
      <name val="Segoe UI"/>
      <b val="1"/>
      <color rgb="001F497D"/>
      <sz val="15"/>
    </font>
    <font>
      <name val="Segoe UI"/>
      <b val="1"/>
      <color rgb="001F497D"/>
      <sz val="12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E9EEF4"/>
        <bgColor rgb="00E9EEF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164" fontId="4" fillId="3" borderId="3" applyAlignment="1" pivotButton="0" quotePrefix="0" xfId="0">
      <alignment horizontal="right" vertical="center"/>
    </xf>
    <xf numFmtId="10" fontId="4" fillId="3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0" fontId="5" fillId="3" borderId="3" applyAlignment="1" pivotButton="0" quotePrefix="0" xfId="0">
      <alignment horizontal="left" vertical="center"/>
    </xf>
    <xf numFmtId="164" fontId="5" fillId="3" borderId="3" applyAlignment="1" pivotButton="0" quotePrefix="0" xfId="0">
      <alignment horizontal="right" vertical="center"/>
    </xf>
    <xf numFmtId="10" fontId="5" fillId="3" borderId="3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  <xf numFmtId="10" fontId="4" fillId="5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5" fillId="3" borderId="3" pivotButton="0" quotePrefix="0" xfId="0"/>
    <xf numFmtId="165" fontId="5" fillId="3" borderId="3" applyAlignment="1" pivotButton="0" quotePrefix="0" xfId="0">
      <alignment horizontal="right" vertical="center"/>
    </xf>
    <xf numFmtId="0" fontId="5" fillId="5" borderId="2" pivotButton="0" quotePrefix="0" xfId="0"/>
    <xf numFmtId="0" fontId="4" fillId="5" borderId="2" pivotButton="0" quotePrefix="0" xfId="0"/>
    <xf numFmtId="165" fontId="5" fillId="5" borderId="2" applyAlignment="1" pivotButton="0" quotePrefix="0" xfId="0">
      <alignment horizontal="right" vertical="center"/>
    </xf>
    <xf numFmtId="0" fontId="5" fillId="4" borderId="2" pivotButton="0" quotePrefix="0" xfId="0"/>
    <xf numFmtId="0" fontId="4" fillId="4" borderId="2" pivotButton="0" quotePrefix="0" xfId="0"/>
    <xf numFmtId="165" fontId="5" fillId="4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0" fillId="0" borderId="2" pivotButton="0" quotePrefix="0" xfId="0"/>
    <xf numFmtId="165" fontId="7" fillId="6" borderId="2" applyAlignment="1" pivotButton="0" quotePrefix="0" xfId="0">
      <alignment horizontal="center" vertical="center"/>
    </xf>
    <xf numFmtId="1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Mensal: Receita Líquida vs. Custos Operacionais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 Mensal'!B4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Mensal'!$A$5:$A$16</f>
            </numRef>
          </cat>
          <val>
            <numRef>
              <f>'Comparativo Mensal'!$B$5:$B$16</f>
            </numRef>
          </val>
        </ser>
        <ser>
          <idx val="1"/>
          <order val="1"/>
          <tx>
            <strRef>
              <f>'Comparativo Mensal'!C4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Mensal'!$A$5:$A$16</f>
            </numRef>
          </cat>
          <val>
            <numRef>
              <f>'Comparativo Mensal'!$C$5:$C$16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</cols>
  <sheetData>
    <row r="1">
      <c r="A1" s="1" t="inlineStr">
        <is>
          <t>Vida Plena S.A. — Demonstração do Resultado do Exercício</t>
        </is>
      </c>
    </row>
    <row r="2">
      <c r="A2" s="2" t="inlineStr">
        <is>
          <t>Relatório Financeiro Consolidado | Exercício de 2025 (Valores em R$)</t>
        </is>
      </c>
    </row>
    <row r="3"/>
    <row r="4" ht="25" customHeight="1">
      <c r="A4" s="3" t="inlineStr">
        <is>
          <t>Conta DRE</t>
        </is>
      </c>
      <c r="B4" s="4" t="inlineStr">
        <is>
          <t>Valor (R$)</t>
        </is>
      </c>
      <c r="C4" s="4" t="inlineStr">
        <is>
          <t>% da Receita Bruta</t>
        </is>
      </c>
    </row>
    <row r="5" ht="20" customHeight="1">
      <c r="A5" s="5" t="inlineStr">
        <is>
          <t>Receita Bruta</t>
        </is>
      </c>
      <c r="B5" s="6" t="n">
        <v>48500000</v>
      </c>
      <c r="C5" s="7">
        <f>B5/$B$5</f>
        <v/>
      </c>
    </row>
    <row r="6" ht="20" customHeight="1">
      <c r="A6" s="8" t="inlineStr">
        <is>
          <t>Deduções da Receita (Impostos sobre Vendas / Devoluções)</t>
        </is>
      </c>
      <c r="B6" s="9" t="n">
        <v>-4365000</v>
      </c>
      <c r="C6" s="10">
        <f>B6/$B$5</f>
        <v/>
      </c>
    </row>
    <row r="7" ht="20" customHeight="1">
      <c r="A7" s="11" t="inlineStr">
        <is>
          <t>Receita Líquida</t>
        </is>
      </c>
      <c r="B7" s="12">
        <f>B5+B6</f>
        <v/>
      </c>
      <c r="C7" s="13">
        <f>B7/$B$5</f>
        <v/>
      </c>
    </row>
    <row r="8" ht="20" customHeight="1">
      <c r="A8" s="8" t="inlineStr">
        <is>
          <t>Custos Operacionais (COGS / Licenciamento / Cloud)</t>
        </is>
      </c>
      <c r="B8" s="9" t="n">
        <v>-17654000</v>
      </c>
      <c r="C8" s="10">
        <f>B8/$B$5</f>
        <v/>
      </c>
    </row>
    <row r="9" ht="20" customHeight="1">
      <c r="A9" s="11" t="inlineStr">
        <is>
          <t>Lucro Bruto</t>
        </is>
      </c>
      <c r="B9" s="12">
        <f>B7+B8</f>
        <v/>
      </c>
      <c r="C9" s="13">
        <f>B9/$B$5</f>
        <v/>
      </c>
    </row>
    <row r="10" ht="20" customHeight="1">
      <c r="A10" s="8" t="inlineStr">
        <is>
          <t>Despesas Administrativas</t>
        </is>
      </c>
      <c r="B10" s="9" t="n">
        <v>-5320000</v>
      </c>
      <c r="C10" s="10">
        <f>B10/$B$5</f>
        <v/>
      </c>
    </row>
    <row r="11" ht="20" customHeight="1">
      <c r="A11" s="14" t="inlineStr">
        <is>
          <t>Despesas Comerciais &amp; Marketing</t>
        </is>
      </c>
      <c r="B11" s="15" t="n">
        <v>-6180000</v>
      </c>
      <c r="C11" s="16">
        <f>B11/$B$5</f>
        <v/>
      </c>
    </row>
    <row r="12" ht="20" customHeight="1">
      <c r="A12" s="8" t="inlineStr">
        <is>
          <t>Despesas Financeiras Líquidas</t>
        </is>
      </c>
      <c r="B12" s="9" t="n">
        <v>-980000</v>
      </c>
      <c r="C12" s="10">
        <f>B12/$B$5</f>
        <v/>
      </c>
    </row>
    <row r="13" ht="20" customHeight="1">
      <c r="A13" s="11" t="inlineStr">
        <is>
          <t>Resultado Operacional (EBIT)</t>
        </is>
      </c>
      <c r="B13" s="12">
        <f>B9+SUM(B10:B12)</f>
        <v/>
      </c>
      <c r="C13" s="13">
        <f>B13/$B$5</f>
        <v/>
      </c>
    </row>
    <row r="14" ht="20" customHeight="1">
      <c r="A14" s="8" t="inlineStr">
        <is>
          <t>Impostos (IRPJ e CSLL)</t>
        </is>
      </c>
      <c r="B14" s="9" t="n">
        <v>-2797530</v>
      </c>
      <c r="C14" s="10">
        <f>B14/$B$5</f>
        <v/>
      </c>
    </row>
    <row r="15" ht="20" customHeight="1">
      <c r="A15" s="11" t="inlineStr">
        <is>
          <t>Lucro Líquido do Exercício</t>
        </is>
      </c>
      <c r="B15" s="12">
        <f>B13+B14</f>
        <v/>
      </c>
      <c r="C15" s="13">
        <f>B15/$B$5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4" customWidth="1" min="4" max="4"/>
    <col width="22" customWidth="1" min="5" max="5"/>
    <col width="20" customWidth="1" min="6" max="6"/>
  </cols>
  <sheetData>
    <row r="1">
      <c r="A1" s="1" t="inlineStr">
        <is>
          <t>Vida Plena S.A. — Evolução Mensal do Resultado (2025)</t>
        </is>
      </c>
    </row>
    <row r="2">
      <c r="A2" s="2" t="inlineStr">
        <is>
          <t>Detalhamento Mensal de Receita, Custos, Despesas e Lucros (em R$)</t>
        </is>
      </c>
    </row>
    <row r="3"/>
    <row r="4" ht="25" customHeight="1">
      <c r="A4" s="3" t="inlineStr">
        <is>
          <t>Mês</t>
        </is>
      </c>
      <c r="B4" s="4" t="inlineStr">
        <is>
          <t>Receita Líquida</t>
        </is>
      </c>
      <c r="C4" s="4" t="inlineStr">
        <is>
          <t>Custos Operacionais</t>
        </is>
      </c>
      <c r="D4" s="4" t="inlineStr">
        <is>
          <t>Despesas Operacionais</t>
        </is>
      </c>
      <c r="E4" s="4" t="inlineStr">
        <is>
          <t>Lucro Operacional</t>
        </is>
      </c>
      <c r="F4" s="4" t="inlineStr">
        <is>
          <t>Lucro Líquido</t>
        </is>
      </c>
    </row>
    <row r="5" ht="20" customHeight="1">
      <c r="A5" s="14" t="inlineStr">
        <is>
          <t>Janeiro</t>
        </is>
      </c>
      <c r="B5" s="17" t="n">
        <v>3450000</v>
      </c>
      <c r="C5" s="17" t="n">
        <v>1380000</v>
      </c>
      <c r="D5" s="17" t="n">
        <v>980000</v>
      </c>
      <c r="E5" s="17">
        <f>B5-C5-D5</f>
        <v/>
      </c>
      <c r="F5" s="17">
        <f>E5*0.79</f>
        <v/>
      </c>
    </row>
    <row r="6" ht="20" customHeight="1">
      <c r="A6" s="8" t="inlineStr">
        <is>
          <t>Fevereiro</t>
        </is>
      </c>
      <c r="B6" s="18" t="n">
        <v>3520000</v>
      </c>
      <c r="C6" s="18" t="n">
        <v>1408000</v>
      </c>
      <c r="D6" s="18" t="n">
        <v>990000</v>
      </c>
      <c r="E6" s="18">
        <f>B6-C6-D6</f>
        <v/>
      </c>
      <c r="F6" s="18">
        <f>E6*0.79</f>
        <v/>
      </c>
    </row>
    <row r="7" ht="20" customHeight="1">
      <c r="A7" s="14" t="inlineStr">
        <is>
          <t>Março</t>
        </is>
      </c>
      <c r="B7" s="17" t="n">
        <v>3680000</v>
      </c>
      <c r="C7" s="17" t="n">
        <v>1472000</v>
      </c>
      <c r="D7" s="17" t="n">
        <v>1010000</v>
      </c>
      <c r="E7" s="17">
        <f>B7-C7-D7</f>
        <v/>
      </c>
      <c r="F7" s="17">
        <f>E7*0.79</f>
        <v/>
      </c>
    </row>
    <row r="8" ht="20" customHeight="1">
      <c r="A8" s="8" t="inlineStr">
        <is>
          <t>Abril</t>
        </is>
      </c>
      <c r="B8" s="18" t="n">
        <v>3600000</v>
      </c>
      <c r="C8" s="18" t="n">
        <v>1440000</v>
      </c>
      <c r="D8" s="18" t="n">
        <v>1000000</v>
      </c>
      <c r="E8" s="18">
        <f>B8-C8-D8</f>
        <v/>
      </c>
      <c r="F8" s="18">
        <f>E8*0.79</f>
        <v/>
      </c>
    </row>
    <row r="9" ht="20" customHeight="1">
      <c r="A9" s="14" t="inlineStr">
        <is>
          <t>Maio</t>
        </is>
      </c>
      <c r="B9" s="17" t="n">
        <v>3750000</v>
      </c>
      <c r="C9" s="17" t="n">
        <v>1500000</v>
      </c>
      <c r="D9" s="17" t="n">
        <v>1020000</v>
      </c>
      <c r="E9" s="17">
        <f>B9-C9-D9</f>
        <v/>
      </c>
      <c r="F9" s="17">
        <f>E9*0.79</f>
        <v/>
      </c>
    </row>
    <row r="10" ht="20" customHeight="1">
      <c r="A10" s="8" t="inlineStr">
        <is>
          <t>Junho</t>
        </is>
      </c>
      <c r="B10" s="18" t="n">
        <v>3820000</v>
      </c>
      <c r="C10" s="18" t="n">
        <v>1528000</v>
      </c>
      <c r="D10" s="18" t="n">
        <v>1030000</v>
      </c>
      <c r="E10" s="18">
        <f>B10-C10-D10</f>
        <v/>
      </c>
      <c r="F10" s="18">
        <f>E10*0.79</f>
        <v/>
      </c>
    </row>
    <row r="11" ht="20" customHeight="1">
      <c r="A11" s="14" t="inlineStr">
        <is>
          <t>Julho</t>
        </is>
      </c>
      <c r="B11" s="17" t="n">
        <v>3900000</v>
      </c>
      <c r="C11" s="17" t="n">
        <v>1560000</v>
      </c>
      <c r="D11" s="17" t="n">
        <v>1040000</v>
      </c>
      <c r="E11" s="17">
        <f>B11-C11-D11</f>
        <v/>
      </c>
      <c r="F11" s="17">
        <f>E11*0.79</f>
        <v/>
      </c>
    </row>
    <row r="12" ht="20" customHeight="1">
      <c r="A12" s="8" t="inlineStr">
        <is>
          <t>Agosto</t>
        </is>
      </c>
      <c r="B12" s="18" t="n">
        <v>3850000</v>
      </c>
      <c r="C12" s="18" t="n">
        <v>1540000</v>
      </c>
      <c r="D12" s="18" t="n">
        <v>1035000</v>
      </c>
      <c r="E12" s="18">
        <f>B12-C12-D12</f>
        <v/>
      </c>
      <c r="F12" s="18">
        <f>E12*0.79</f>
        <v/>
      </c>
    </row>
    <row r="13" ht="20" customHeight="1">
      <c r="A13" s="14" t="inlineStr">
        <is>
          <t>Setembro</t>
        </is>
      </c>
      <c r="B13" s="17" t="n">
        <v>4020000</v>
      </c>
      <c r="C13" s="17" t="n">
        <v>1608000</v>
      </c>
      <c r="D13" s="17" t="n">
        <v>1060000</v>
      </c>
      <c r="E13" s="17">
        <f>B13-C13-D13</f>
        <v/>
      </c>
      <c r="F13" s="17">
        <f>E13*0.79</f>
        <v/>
      </c>
    </row>
    <row r="14" ht="20" customHeight="1">
      <c r="A14" s="8" t="inlineStr">
        <is>
          <t>Outubro</t>
        </is>
      </c>
      <c r="B14" s="18" t="n">
        <v>4100000</v>
      </c>
      <c r="C14" s="18" t="n">
        <v>1640000</v>
      </c>
      <c r="D14" s="18" t="n">
        <v>1070000</v>
      </c>
      <c r="E14" s="18">
        <f>B14-C14-D14</f>
        <v/>
      </c>
      <c r="F14" s="18">
        <f>E14*0.79</f>
        <v/>
      </c>
    </row>
    <row r="15" ht="20" customHeight="1">
      <c r="A15" s="14" t="inlineStr">
        <is>
          <t>Novembro</t>
        </is>
      </c>
      <c r="B15" s="17" t="n">
        <v>4180000</v>
      </c>
      <c r="C15" s="17" t="n">
        <v>1672000</v>
      </c>
      <c r="D15" s="17" t="n">
        <v>1080000</v>
      </c>
      <c r="E15" s="17">
        <f>B15-C15-D15</f>
        <v/>
      </c>
      <c r="F15" s="17">
        <f>E15*0.79</f>
        <v/>
      </c>
    </row>
    <row r="16" ht="20" customHeight="1">
      <c r="A16" s="8" t="inlineStr">
        <is>
          <t>Dezembro</t>
        </is>
      </c>
      <c r="B16" s="18" t="n">
        <v>4265000</v>
      </c>
      <c r="C16" s="18" t="n">
        <v>1706000</v>
      </c>
      <c r="D16" s="18" t="n">
        <v>1090000</v>
      </c>
      <c r="E16" s="18">
        <f>B16-C16-D16</f>
        <v/>
      </c>
      <c r="F16" s="18">
        <f>E16*0.79</f>
        <v/>
      </c>
    </row>
    <row r="17" ht="22" customHeight="1">
      <c r="A17" s="19" t="inlineStr">
        <is>
          <t>Total Acumulado</t>
        </is>
      </c>
      <c r="B17" s="20">
        <f>SUM(B5:B16)</f>
        <v/>
      </c>
      <c r="C17" s="20">
        <f>SUM(C5:C16)</f>
        <v/>
      </c>
      <c r="D17" s="20">
        <f>SUM(D5:D16)</f>
        <v/>
      </c>
      <c r="E17" s="20">
        <f>SUM(E5:E16)</f>
        <v/>
      </c>
      <c r="F17" s="20">
        <f>SUM(F5:F16)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24" customWidth="1" min="3" max="3"/>
  </cols>
  <sheetData>
    <row r="1">
      <c r="A1" s="1" t="inlineStr">
        <is>
          <t>Vida Plena S.A. — Indicadores Financeiros &amp; Métricas de Performance</t>
        </is>
      </c>
    </row>
    <row r="2">
      <c r="A2" s="2" t="inlineStr">
        <is>
          <t>Visão Sintética de Margens, Eficiência e Métricas Corporativas (2025)</t>
        </is>
      </c>
    </row>
    <row r="3"/>
    <row r="4" ht="25" customHeight="1">
      <c r="A4" s="3" t="inlineStr">
        <is>
          <t>Indicador</t>
        </is>
      </c>
      <c r="B4" s="3" t="inlineStr">
        <is>
          <t>Fórmula / Critério</t>
        </is>
      </c>
      <c r="C4" s="4" t="inlineStr">
        <is>
          <t>Valor / Percentual</t>
        </is>
      </c>
    </row>
    <row r="5" ht="20" customHeight="1">
      <c r="A5" s="21" t="inlineStr">
        <is>
          <t>Receita Total (Líquida)</t>
        </is>
      </c>
      <c r="B5" s="22" t="inlineStr">
        <is>
          <t>Soma da Receita Líquida no Ano</t>
        </is>
      </c>
      <c r="C5" s="23">
        <f>'DRE 2025'!B7</f>
        <v/>
      </c>
    </row>
    <row r="6" ht="20" customHeight="1">
      <c r="A6" s="24" t="inlineStr">
        <is>
          <t>Receita Média Mensal</t>
        </is>
      </c>
      <c r="B6" s="25" t="inlineStr">
        <is>
          <t>Média da Receita Líquida Mensal</t>
        </is>
      </c>
      <c r="C6" s="26">
        <f>AVERAGE('Comparativo Mensal'!B5:B16)</f>
        <v/>
      </c>
    </row>
    <row r="7" ht="20" customHeight="1">
      <c r="A7" s="21" t="inlineStr">
        <is>
          <t>Crescimento Anual</t>
        </is>
      </c>
      <c r="B7" s="22" t="inlineStr">
        <is>
          <t>Variação em relação ao exercício anterior (2024)</t>
        </is>
      </c>
      <c r="C7" s="27" t="n">
        <v>0.1425</v>
      </c>
    </row>
    <row r="8" ht="20" customHeight="1">
      <c r="A8" s="24" t="inlineStr">
        <is>
          <t>Margem Bruta</t>
        </is>
      </c>
      <c r="B8" s="25" t="inlineStr">
        <is>
          <t>Lucro Bruto / Receita Líquida</t>
        </is>
      </c>
      <c r="C8" s="28">
        <f>'DRE 2025'!B9/'DRE 2025'!B7</f>
        <v/>
      </c>
    </row>
    <row r="9" ht="20" customHeight="1">
      <c r="A9" s="21" t="inlineStr">
        <is>
          <t>Margem Operacional</t>
        </is>
      </c>
      <c r="B9" s="22" t="inlineStr">
        <is>
          <t>Resultado Operacional / Receita Líquida</t>
        </is>
      </c>
      <c r="C9" s="27">
        <f>'DRE 2025'!B13/'DRE 2025'!B7</f>
        <v/>
      </c>
    </row>
    <row r="10" ht="20" customHeight="1">
      <c r="A10" s="24" t="inlineStr">
        <is>
          <t>Margem Líquida</t>
        </is>
      </c>
      <c r="B10" s="25" t="inlineStr">
        <is>
          <t>Lucro Líquido / Receita Líquida</t>
        </is>
      </c>
      <c r="C10" s="28">
        <f>'DRE 2025'!B15/'DRE 2025'!B7</f>
        <v/>
      </c>
    </row>
    <row r="11" ht="20" customHeight="1">
      <c r="A11" s="21" t="inlineStr">
        <is>
          <t>EBITDA</t>
        </is>
      </c>
      <c r="B11" s="22" t="inlineStr">
        <is>
          <t>Resultado Operacional + Depreciação/Amortização</t>
        </is>
      </c>
      <c r="C11" s="23">
        <f>'DRE 2025'!B13+1850000</f>
        <v/>
      </c>
    </row>
    <row r="12" ht="20" customHeight="1">
      <c r="A12" s="24" t="inlineStr">
        <is>
          <t>Ticket Médio por Cliente</t>
        </is>
      </c>
      <c r="B12" s="25" t="inlineStr">
        <is>
          <t>Receita Líquida / Base de Clientes Ativos (1.450)</t>
        </is>
      </c>
      <c r="C12" s="26">
        <f>'DRE 2025'!B7/1450</f>
        <v/>
      </c>
    </row>
    <row r="13" ht="20" customHeight="1">
      <c r="A13" s="21" t="inlineStr">
        <is>
          <t>Receita por Colaborador</t>
        </is>
      </c>
      <c r="B13" s="22" t="inlineStr">
        <is>
          <t>Receita Líquida / Colaboradores (350)</t>
        </is>
      </c>
      <c r="C13" s="23">
        <f>'DRE 2025'!B7/350</f>
        <v/>
      </c>
    </row>
    <row r="14" ht="20" customHeight="1">
      <c r="A14" s="24" t="inlineStr">
        <is>
          <t>Custo Operacional Médio Mensal</t>
        </is>
      </c>
      <c r="B14" s="25" t="inlineStr">
        <is>
          <t>Média dos Custos Operacionais Mensais</t>
        </is>
      </c>
      <c r="C14" s="26">
        <f>AVERAGE('Comparativo Mensal'!C5:C16)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  <col width="43" customWidth="1" min="7" max="7"/>
    <col width="14" customWidth="1" min="8" max="8"/>
  </cols>
  <sheetData>
    <row r="1">
      <c r="A1" s="1" t="inlineStr">
        <is>
          <t>Vida Plena S.A. — Painel Executivo Financeiro</t>
        </is>
      </c>
    </row>
    <row r="2">
      <c r="A2" s="2" t="inlineStr">
        <is>
          <t>Principais Métricas de Resultado e Indicadores Chave de Desempenho (2025)</t>
        </is>
      </c>
    </row>
    <row r="3"/>
    <row r="4">
      <c r="A4" s="29" t="inlineStr">
        <is>
          <t>Receita Total (Líquida)</t>
        </is>
      </c>
      <c r="B4" s="30" t="n"/>
      <c r="C4" s="29" t="inlineStr">
        <is>
          <t>Lucro Líquido</t>
        </is>
      </c>
      <c r="D4" s="30" t="n"/>
      <c r="E4" s="29" t="inlineStr">
        <is>
          <t>Receita Média Mensal</t>
        </is>
      </c>
      <c r="F4" s="30" t="n"/>
      <c r="G4" s="29" t="inlineStr">
        <is>
          <t>Crescimento do Ano</t>
        </is>
      </c>
      <c r="H4" s="30" t="n"/>
    </row>
    <row r="5">
      <c r="A5" s="31">
        <f>'DRE 2025'!B7</f>
        <v/>
      </c>
      <c r="B5" s="30" t="n"/>
      <c r="C5" s="31">
        <f>'DRE 2025'!B15</f>
        <v/>
      </c>
      <c r="D5" s="30" t="n"/>
      <c r="E5" s="31">
        <f>'Indicadores Financeiros'!C6</f>
        <v/>
      </c>
      <c r="F5" s="30" t="n"/>
      <c r="G5" s="32">
        <f>'Indicadores Financeiros'!C7</f>
        <v/>
      </c>
      <c r="H5" s="30" t="n"/>
    </row>
    <row r="6"/>
    <row r="7">
      <c r="A7" s="29" t="inlineStr">
        <is>
          <t>Melhor Mês (Faturamento)</t>
        </is>
      </c>
      <c r="B7" s="30" t="n"/>
      <c r="C7" s="29" t="inlineStr">
        <is>
          <t>Pior Mês (Faturamento)</t>
        </is>
      </c>
      <c r="D7" s="30" t="n"/>
      <c r="E7" s="29" t="inlineStr">
        <is>
          <t>Percentual de Custos</t>
        </is>
      </c>
      <c r="F7" s="30" t="n"/>
      <c r="G7" s="29" t="inlineStr">
        <is>
          <t>Percentual de Despesas</t>
        </is>
      </c>
      <c r="H7" s="30" t="n"/>
    </row>
    <row r="8">
      <c r="A8" s="33">
        <f>INDEX('Comparativo Mensal'!A5:A16, MATCH(MAX('Comparativo Mensal'!B5:B16), 'Comparativo Mensal'!B5:B16, 0))</f>
        <v/>
      </c>
      <c r="B8" s="30" t="n"/>
      <c r="C8" s="33">
        <f>INDEX('Comparativo Mensal'!A5:A16, MATCH(MIN('Comparativo Mensal'!B5:B16), 'Comparativo Mensal'!B5:B16, 0))</f>
        <v/>
      </c>
      <c r="D8" s="30" t="n"/>
      <c r="E8" s="32">
        <f>-'DRE 2025'!B8/'DRE 2025'!B7</f>
        <v/>
      </c>
      <c r="F8" s="30" t="n"/>
      <c r="G8" s="32">
        <f>-SUM('DRE 2025'!B10:B12)/'DRE 2025'!B7</f>
        <v/>
      </c>
      <c r="H8" s="30" t="n"/>
    </row>
    <row r="9"/>
    <row r="10">
      <c r="A10" s="34" t="inlineStr">
        <is>
          <t>Resumo das Principais Contas DRE</t>
        </is>
      </c>
    </row>
    <row r="11" ht="22" customHeight="1">
      <c r="A11" s="3" t="inlineStr">
        <is>
          <t>Conta DRE</t>
        </is>
      </c>
      <c r="B11" s="4" t="inlineStr">
        <is>
          <t>Valor Consolidado (R$)</t>
        </is>
      </c>
      <c r="C11" s="4" t="inlineStr">
        <is>
          <t>% S/ Receita Líquida</t>
        </is>
      </c>
    </row>
    <row r="12" ht="20" customHeight="1">
      <c r="A12" s="24" t="inlineStr">
        <is>
          <t>Receita Bruta</t>
        </is>
      </c>
      <c r="B12" s="26">
        <f>'DRE 2025'!B5</f>
        <v/>
      </c>
      <c r="C12" s="28">
        <f>B12/$B$13</f>
        <v/>
      </c>
    </row>
    <row r="13" ht="20" customHeight="1">
      <c r="A13" s="21" t="inlineStr">
        <is>
          <t>Receita Líquida</t>
        </is>
      </c>
      <c r="B13" s="23">
        <f>'DRE 2025'!B7</f>
        <v/>
      </c>
      <c r="C13" s="27">
        <f>B13/$B$13</f>
        <v/>
      </c>
    </row>
    <row r="14" ht="20" customHeight="1">
      <c r="A14" s="24" t="inlineStr">
        <is>
          <t>Lucro Bruto</t>
        </is>
      </c>
      <c r="B14" s="26">
        <f>'DRE 2025'!B9</f>
        <v/>
      </c>
      <c r="C14" s="28">
        <f>B14/$B$13</f>
        <v/>
      </c>
    </row>
    <row r="15" ht="20" customHeight="1">
      <c r="A15" s="21" t="inlineStr">
        <is>
          <t>Resultado Operacional (EBIT)</t>
        </is>
      </c>
      <c r="B15" s="23">
        <f>'DRE 2025'!B13</f>
        <v/>
      </c>
      <c r="C15" s="27">
        <f>B15/$B$13</f>
        <v/>
      </c>
    </row>
    <row r="16" ht="20" customHeight="1">
      <c r="A16" s="24" t="inlineStr">
        <is>
          <t>EBITDA</t>
        </is>
      </c>
      <c r="B16" s="26">
        <f>'Indicadores Financeiros'!C11</f>
        <v/>
      </c>
      <c r="C16" s="28">
        <f>B16/$B$13</f>
        <v/>
      </c>
    </row>
    <row r="17" ht="20" customHeight="1">
      <c r="A17" s="21" t="inlineStr">
        <is>
          <t>Lucro Líquido</t>
        </is>
      </c>
      <c r="B17" s="23">
        <f>'DRE 2025'!B15</f>
        <v/>
      </c>
      <c r="C17" s="27">
        <f>B17/$B$13</f>
        <v/>
      </c>
    </row>
  </sheetData>
  <mergeCells count="16">
    <mergeCell ref="A4:B4"/>
    <mergeCell ref="G4:H4"/>
    <mergeCell ref="E4:F4"/>
    <mergeCell ref="C7:D7"/>
    <mergeCell ref="A7:B7"/>
    <mergeCell ref="G7:H7"/>
    <mergeCell ref="E7:F7"/>
    <mergeCell ref="C5:D5"/>
    <mergeCell ref="A5:B5"/>
    <mergeCell ref="G5:H5"/>
    <mergeCell ref="E5:F5"/>
    <mergeCell ref="G8:H8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2026-07-22T19:12:26Z</dcterms:created>
  <dcterms:modified xmlns:dcterms="http://purl.org/dc/terms/" xmlns:xsi="http://www.w3.org/2001/XMLSchema-instance" xsi:type="dcterms:W3CDTF">2026-07-22T19:12:26Z</dcterms:modified>
</cp:coreProperties>
</file>