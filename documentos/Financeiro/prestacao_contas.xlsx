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ção de Contas" sheetId="1" state="visible" r:id="rId1"/>
    <sheet xmlns:r="http://schemas.openxmlformats.org/officeDocument/2006/relationships" name="Centros de Custos" sheetId="2" state="visible" r:id="rId2"/>
    <sheet xmlns:r="http://schemas.openxmlformats.org/officeDocument/2006/relationships" name="Limites de Reembolso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11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C65911"/>
      <sz val="10"/>
    </font>
    <font>
      <name val="Segoe UI"/>
      <b val="1"/>
      <color rgb="007F6000"/>
      <sz val="10"/>
    </font>
    <font>
      <name val="Segoe UI"/>
      <b val="1"/>
      <sz val="10"/>
    </font>
    <font>
      <name val="Segoe UI"/>
      <b val="1"/>
      <color rgb="00595959"/>
      <sz val="9"/>
    </font>
    <font>
      <name val="Segoe UI"/>
      <b val="1"/>
      <color rgb="001F497D"/>
      <sz val="12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2F5F9"/>
        <bgColor rgb="00F2F5F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9EEF4"/>
        <bgColor rgb="00E9EEF4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165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6" fontId="4" fillId="3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6" fontId="4" fillId="5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166" fontId="8" fillId="8" borderId="3" pivotButton="0" quotePrefix="0" xfId="0"/>
    <xf numFmtId="0" fontId="9" fillId="9" borderId="2" applyAlignment="1" pivotButton="0" quotePrefix="0" xfId="0">
      <alignment horizontal="center" vertical="center"/>
    </xf>
    <xf numFmtId="0" fontId="0" fillId="0" borderId="2" pivotButton="0" quotePrefix="0" xfId="0"/>
    <xf numFmtId="3" fontId="1" fillId="9" borderId="2" applyAlignment="1" pivotButton="0" quotePrefix="0" xfId="0">
      <alignment horizontal="center" vertical="center"/>
    </xf>
    <xf numFmtId="166" fontId="1" fillId="9" borderId="2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8" fillId="5" borderId="2" pivotButton="0" quotePrefix="0" xfId="0"/>
    <xf numFmtId="0" fontId="8" fillId="3" borderId="2" pivotButton="0" quotePrefix="0" xfId="0"/>
    <xf numFmtId="0" fontId="3" fillId="2" borderId="2" pivotButton="0" quotePrefix="0" xfId="0"/>
    <xf numFmtId="166" fontId="3" fillId="2" borderId="2" applyAlignment="1" pivotButton="0" quotePrefix="0" xfId="0">
      <alignment horizontal="right" vertical="center"/>
    </xf>
    <xf numFmtId="0" fontId="3" fillId="2" borderId="0" pivotButton="0" quotePrefix="0" xfId="0"/>
    <xf numFmtId="0" fontId="4" fillId="0" borderId="2" pivotButton="0" quotePrefix="0" xfId="0"/>
    <xf numFmtId="166" fontId="4" fillId="0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Total por Departamento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'Dashboard'!$A$15:$A$20</f>
            </numRef>
          </cat>
          <val>
            <numRef>
              <f>'Dashboard'!$B$15:$B$20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Departamento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por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'Dashboard'!$A$23:$A$25</f>
            </numRef>
          </cat>
          <val>
            <numRef>
              <f>'Dashboard'!$B$23:$B$25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43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4" customWidth="1" min="4" max="4"/>
    <col width="12" customWidth="1" min="5" max="5"/>
    <col width="16" customWidth="1" min="6" max="6"/>
    <col width="20" customWidth="1" min="7" max="7"/>
    <col width="18" customWidth="1" min="8" max="8"/>
    <col width="17" customWidth="1" min="9" max="9"/>
    <col width="12" customWidth="1" min="10" max="10"/>
    <col width="25" customWidth="1" min="11" max="11"/>
    <col width="45" customWidth="1" min="12" max="12"/>
    <col width="15" customWidth="1" min="13" max="13"/>
    <col width="21" customWidth="1" min="14" max="14"/>
    <col width="21" customWidth="1" min="15" max="15"/>
    <col width="24" customWidth="1" min="16" max="16"/>
    <col width="12" customWidth="1" min="17" max="17"/>
    <col width="20" customWidth="1" min="18" max="18"/>
    <col width="29" customWidth="1" min="19" max="19"/>
    <col width="45" customWidth="1" min="20" max="20"/>
  </cols>
  <sheetData>
    <row r="1">
      <c r="A1" s="1" t="inlineStr">
        <is>
          <t>Vida Plena S.A. — Prestação de Contas Corporativas</t>
        </is>
      </c>
    </row>
    <row r="2">
      <c r="A2" s="2" t="inlineStr">
        <is>
          <t>Relatório Detalhado de Solicitações de Reembolso e Despesas Corporativas</t>
        </is>
      </c>
    </row>
    <row r="3"/>
    <row r="4" ht="25" customHeight="1">
      <c r="A4" s="3" t="inlineStr">
        <is>
          <t>ID da Solicitação</t>
        </is>
      </c>
      <c r="B4" s="3" t="inlineStr">
        <is>
          <t>Data da Despesa</t>
        </is>
      </c>
      <c r="C4" s="3" t="inlineStr">
        <is>
          <t>Data da Solicitação</t>
        </is>
      </c>
      <c r="D4" s="3" t="inlineStr">
        <is>
          <t>Nome do Colaborador</t>
        </is>
      </c>
      <c r="E4" s="3" t="inlineStr">
        <is>
          <t>Matrícula</t>
        </is>
      </c>
      <c r="F4" s="3" t="inlineStr">
        <is>
          <t>Departamento</t>
        </is>
      </c>
      <c r="G4" s="3" t="inlineStr">
        <is>
          <t>Gestor Responsável</t>
        </is>
      </c>
      <c r="H4" s="3" t="inlineStr">
        <is>
          <t>Centro de Custo</t>
        </is>
      </c>
      <c r="I4" s="3" t="inlineStr">
        <is>
          <t>Cidade</t>
        </is>
      </c>
      <c r="J4" s="3" t="inlineStr">
        <is>
          <t>Estado</t>
        </is>
      </c>
      <c r="K4" s="3" t="inlineStr">
        <is>
          <t>Tipo de Despesa</t>
        </is>
      </c>
      <c r="L4" s="3" t="inlineStr">
        <is>
          <t>Descrição</t>
        </is>
      </c>
      <c r="M4" s="3" t="inlineStr">
        <is>
          <t>Valor (R$)</t>
        </is>
      </c>
      <c r="N4" s="3" t="inlineStr">
        <is>
          <t>Forma de Pagamento</t>
        </is>
      </c>
      <c r="O4" s="3" t="inlineStr">
        <is>
          <t>Possui Nota Fiscal</t>
        </is>
      </c>
      <c r="P4" s="3" t="inlineStr">
        <is>
          <t>Número da Nota Fiscal</t>
        </is>
      </c>
      <c r="Q4" s="3" t="inlineStr">
        <is>
          <t>Status</t>
        </is>
      </c>
      <c r="R4" s="3" t="inlineStr">
        <is>
          <t>Data da Aprovação</t>
        </is>
      </c>
      <c r="S4" s="3" t="inlineStr">
        <is>
          <t>Responsável pela Aprovação</t>
        </is>
      </c>
      <c r="T4" s="3" t="inlineStr">
        <is>
          <t>Observações</t>
        </is>
      </c>
    </row>
    <row r="5" ht="20" customHeight="1">
      <c r="A5" s="4" t="inlineStr">
        <is>
          <t>SOL-2026-001</t>
        </is>
      </c>
      <c r="B5" s="5" t="n">
        <v>46027</v>
      </c>
      <c r="C5" s="5" t="n">
        <v>46029</v>
      </c>
      <c r="D5" s="6" t="inlineStr">
        <is>
          <t>Carlos Eduardo Silva</t>
        </is>
      </c>
      <c r="E5" s="4" t="inlineStr">
        <is>
          <t>VP-1024</t>
        </is>
      </c>
      <c r="F5" s="6" t="inlineStr">
        <is>
          <t>Comercial</t>
        </is>
      </c>
      <c r="G5" s="6" t="inlineStr">
        <is>
          <t>Roberto Alves</t>
        </is>
      </c>
      <c r="H5" s="4" t="inlineStr">
        <is>
          <t>CC101</t>
        </is>
      </c>
      <c r="I5" s="6" t="inlineStr">
        <is>
          <t>São Paulo</t>
        </is>
      </c>
      <c r="J5" s="4" t="inlineStr">
        <is>
          <t>SP</t>
        </is>
      </c>
      <c r="K5" s="6" t="inlineStr">
        <is>
          <t>Hospedagem</t>
        </is>
      </c>
      <c r="L5" s="6" t="inlineStr">
        <is>
          <t>Hospedagem cliente Itaú - 2 diárias</t>
        </is>
      </c>
      <c r="M5" s="7" t="n">
        <v>680</v>
      </c>
      <c r="N5" s="6" t="inlineStr">
        <is>
          <t>Cartão Corporativo</t>
        </is>
      </c>
      <c r="O5" s="4" t="inlineStr">
        <is>
          <t>Sim</t>
        </is>
      </c>
      <c r="P5" s="4" t="inlineStr">
        <is>
          <t>NF-88412</t>
        </is>
      </c>
      <c r="Q5" s="8" t="inlineStr">
        <is>
          <t>Aprovado</t>
        </is>
      </c>
      <c r="R5" s="5" t="n">
        <v>46030</v>
      </c>
      <c r="S5" s="6" t="inlineStr">
        <is>
          <t>Roberto Alves</t>
        </is>
      </c>
      <c r="T5" s="6" t="inlineStr">
        <is>
          <t>Dentro do limite corporativo aprovado</t>
        </is>
      </c>
    </row>
    <row r="6" ht="20" customHeight="1">
      <c r="A6" s="9" t="inlineStr">
        <is>
          <t>SOL-2026-002</t>
        </is>
      </c>
      <c r="B6" s="10" t="n">
        <v>46028</v>
      </c>
      <c r="C6" s="10" t="n">
        <v>46029</v>
      </c>
      <c r="D6" s="11" t="inlineStr">
        <is>
          <t>Mariana Costa</t>
        </is>
      </c>
      <c r="E6" s="9" t="inlineStr">
        <is>
          <t>VP-1105</t>
        </is>
      </c>
      <c r="F6" s="11" t="inlineStr">
        <is>
          <t>TI</t>
        </is>
      </c>
      <c r="G6" s="11" t="inlineStr">
        <is>
          <t>Beatriz Lima</t>
        </is>
      </c>
      <c r="H6" s="9" t="inlineStr">
        <is>
          <t>CC201</t>
        </is>
      </c>
      <c r="I6" s="11" t="inlineStr">
        <is>
          <t>Campinas</t>
        </is>
      </c>
      <c r="J6" s="9" t="inlineStr">
        <is>
          <t>SP</t>
        </is>
      </c>
      <c r="K6" s="11" t="inlineStr">
        <is>
          <t>Uber</t>
        </is>
      </c>
      <c r="L6" s="11" t="inlineStr">
        <is>
          <t>Deslocamento para visita técnica no Data Center</t>
        </is>
      </c>
      <c r="M6" s="12" t="n">
        <v>85.5</v>
      </c>
      <c r="N6" s="11" t="inlineStr">
        <is>
          <t>Reembolso</t>
        </is>
      </c>
      <c r="O6" s="9" t="inlineStr">
        <is>
          <t>Sim</t>
        </is>
      </c>
      <c r="P6" s="9" t="inlineStr">
        <is>
          <t>NF-10492</t>
        </is>
      </c>
      <c r="Q6" s="8" t="inlineStr">
        <is>
          <t>Aprovado</t>
        </is>
      </c>
      <c r="R6" s="10" t="n">
        <v>46030</v>
      </c>
      <c r="S6" s="11" t="inlineStr">
        <is>
          <t>Beatriz Lima</t>
        </is>
      </c>
      <c r="T6" s="11" t="inlineStr">
        <is>
          <t>Conforme comprovante anexado</t>
        </is>
      </c>
    </row>
    <row r="7" ht="20" customHeight="1">
      <c r="A7" s="4" t="inlineStr">
        <is>
          <t>SOL-2026-003</t>
        </is>
      </c>
      <c r="B7" s="5" t="n">
        <v>46030</v>
      </c>
      <c r="C7" s="5" t="n">
        <v>46032</v>
      </c>
      <c r="D7" s="6" t="inlineStr">
        <is>
          <t>Lucas Fernandes</t>
        </is>
      </c>
      <c r="E7" s="4" t="inlineStr">
        <is>
          <t>VP-1089</t>
        </is>
      </c>
      <c r="F7" s="6" t="inlineStr">
        <is>
          <t>Financeiro</t>
        </is>
      </c>
      <c r="G7" s="6" t="inlineStr">
        <is>
          <t>Fernando Rocha</t>
        </is>
      </c>
      <c r="H7" s="4" t="inlineStr">
        <is>
          <t>CC301</t>
        </is>
      </c>
      <c r="I7" s="6" t="inlineStr">
        <is>
          <t>Rio de Janeiro</t>
        </is>
      </c>
      <c r="J7" s="4" t="inlineStr">
        <is>
          <t>RJ</t>
        </is>
      </c>
      <c r="K7" s="6" t="inlineStr">
        <is>
          <t>Passagem Aérea</t>
        </is>
      </c>
      <c r="L7" s="6" t="inlineStr">
        <is>
          <t>Voo para reunião trimestral de controladoria</t>
        </is>
      </c>
      <c r="M7" s="7" t="n">
        <v>1250</v>
      </c>
      <c r="N7" s="6" t="inlineStr">
        <is>
          <t>Faturamento Direct</t>
        </is>
      </c>
      <c r="O7" s="4" t="inlineStr">
        <is>
          <t>Sim</t>
        </is>
      </c>
      <c r="P7" s="4" t="inlineStr">
        <is>
          <t>NF-99210</t>
        </is>
      </c>
      <c r="Q7" s="8" t="inlineStr">
        <is>
          <t>Aprovado</t>
        </is>
      </c>
      <c r="R7" s="5" t="n">
        <v>46033</v>
      </c>
      <c r="S7" s="6" t="inlineStr">
        <is>
          <t>Fernando Rocha</t>
        </is>
      </c>
      <c r="T7" s="6" t="inlineStr">
        <is>
          <t>Viagem emergencial autorizada</t>
        </is>
      </c>
    </row>
    <row r="8" ht="20" customHeight="1">
      <c r="A8" s="9" t="inlineStr">
        <is>
          <t>SOL-2026-004</t>
        </is>
      </c>
      <c r="B8" s="10" t="n">
        <v>46032</v>
      </c>
      <c r="C8" s="10" t="n">
        <v>46033</v>
      </c>
      <c r="D8" s="11" t="inlineStr">
        <is>
          <t>Camila Rocha</t>
        </is>
      </c>
      <c r="E8" s="9" t="inlineStr">
        <is>
          <t>VP-1142</t>
        </is>
      </c>
      <c r="F8" s="11" t="inlineStr">
        <is>
          <t>RH</t>
        </is>
      </c>
      <c r="G8" s="11" t="inlineStr">
        <is>
          <t>Patricia Mendes</t>
        </is>
      </c>
      <c r="H8" s="9" t="inlineStr">
        <is>
          <t>CC401</t>
        </is>
      </c>
      <c r="I8" s="11" t="inlineStr">
        <is>
          <t>São Paulo</t>
        </is>
      </c>
      <c r="J8" s="9" t="inlineStr">
        <is>
          <t>SP</t>
        </is>
      </c>
      <c r="K8" s="11" t="inlineStr">
        <is>
          <t>Alimentação</t>
        </is>
      </c>
      <c r="L8" s="11" t="inlineStr">
        <is>
          <t>Almoço de integração com novos contratados</t>
        </is>
      </c>
      <c r="M8" s="12" t="n">
        <v>185</v>
      </c>
      <c r="N8" s="11" t="inlineStr">
        <is>
          <t>Reembolso</t>
        </is>
      </c>
      <c r="O8" s="9" t="inlineStr">
        <is>
          <t>Sim</t>
        </is>
      </c>
      <c r="P8" s="9" t="inlineStr">
        <is>
          <t>NF-44123</t>
        </is>
      </c>
      <c r="Q8" s="8" t="inlineStr">
        <is>
          <t>Aprovado</t>
        </is>
      </c>
      <c r="R8" s="10" t="n">
        <v>46034</v>
      </c>
      <c r="S8" s="11" t="inlineStr">
        <is>
          <t>Patricia Mendes</t>
        </is>
      </c>
      <c r="T8" s="11" t="inlineStr">
        <is>
          <t>Aprovado exceção de limite por gestor</t>
        </is>
      </c>
    </row>
    <row r="9" ht="20" customHeight="1">
      <c r="A9" s="4" t="inlineStr">
        <is>
          <t>SOL-2026-005</t>
        </is>
      </c>
      <c r="B9" s="5" t="n">
        <v>46034</v>
      </c>
      <c r="C9" s="5" t="n">
        <v>46035</v>
      </c>
      <c r="D9" s="6" t="inlineStr">
        <is>
          <t>Rafael Almeida</t>
        </is>
      </c>
      <c r="E9" s="4" t="inlineStr">
        <is>
          <t>VP-1201</t>
        </is>
      </c>
      <c r="F9" s="6" t="inlineStr">
        <is>
          <t>Compliance</t>
        </is>
      </c>
      <c r="G9" s="6" t="inlineStr">
        <is>
          <t>Gustavo Carvalho</t>
        </is>
      </c>
      <c r="H9" s="4" t="inlineStr">
        <is>
          <t>CC501</t>
        </is>
      </c>
      <c r="I9" s="6" t="inlineStr">
        <is>
          <t>Brasília</t>
        </is>
      </c>
      <c r="J9" s="4" t="inlineStr">
        <is>
          <t>DF</t>
        </is>
      </c>
      <c r="K9" s="6" t="inlineStr">
        <is>
          <t>Passagem Rodoviária</t>
        </is>
      </c>
      <c r="L9" s="6" t="inlineStr">
        <is>
          <t>Deslocamento para auditoria regulatória</t>
        </is>
      </c>
      <c r="M9" s="7" t="n">
        <v>210</v>
      </c>
      <c r="N9" s="6" t="inlineStr">
        <is>
          <t>Reembolso</t>
        </is>
      </c>
      <c r="O9" s="4" t="inlineStr">
        <is>
          <t>Sim</t>
        </is>
      </c>
      <c r="P9" s="4" t="inlineStr">
        <is>
          <t>NF-00312</t>
        </is>
      </c>
      <c r="Q9" s="8" t="inlineStr">
        <is>
          <t>Aprovado</t>
        </is>
      </c>
      <c r="R9" s="5" t="n">
        <v>46036</v>
      </c>
      <c r="S9" s="6" t="inlineStr">
        <is>
          <t>Gustavo Carvalho</t>
        </is>
      </c>
      <c r="T9" s="6" t="inlineStr">
        <is>
          <t>Comprovante válido</t>
        </is>
      </c>
    </row>
    <row r="10" ht="20" customHeight="1">
      <c r="A10" s="9" t="inlineStr">
        <is>
          <t>SOL-2026-006</t>
        </is>
      </c>
      <c r="B10" s="10" t="n">
        <v>46036</v>
      </c>
      <c r="C10" s="10" t="n">
        <v>46037</v>
      </c>
      <c r="D10" s="11" t="inlineStr">
        <is>
          <t>Juliana Martins</t>
        </is>
      </c>
      <c r="E10" s="9" t="inlineStr">
        <is>
          <t>VP-1055</t>
        </is>
      </c>
      <c r="F10" s="11" t="inlineStr">
        <is>
          <t>Comunicação</t>
        </is>
      </c>
      <c r="G10" s="11" t="inlineStr">
        <is>
          <t>Vanessa Souza</t>
        </is>
      </c>
      <c r="H10" s="9" t="inlineStr">
        <is>
          <t>CC601</t>
        </is>
      </c>
      <c r="I10" s="11" t="inlineStr">
        <is>
          <t>São Paulo</t>
        </is>
      </c>
      <c r="J10" s="9" t="inlineStr">
        <is>
          <t>SP</t>
        </is>
      </c>
      <c r="K10" s="11" t="inlineStr">
        <is>
          <t>Eventos Corporativos</t>
        </is>
      </c>
      <c r="L10" s="11" t="inlineStr">
        <is>
          <t>Inscrição no Workshop de Comunicação Integrada</t>
        </is>
      </c>
      <c r="M10" s="12" t="n">
        <v>890</v>
      </c>
      <c r="N10" s="11" t="inlineStr">
        <is>
          <t>Cartão Corporativo</t>
        </is>
      </c>
      <c r="O10" s="9" t="inlineStr">
        <is>
          <t>Sim</t>
        </is>
      </c>
      <c r="P10" s="9" t="inlineStr">
        <is>
          <t>NF-77219</t>
        </is>
      </c>
      <c r="Q10" s="8" t="inlineStr">
        <is>
          <t>Aprovado</t>
        </is>
      </c>
      <c r="R10" s="10" t="n">
        <v>46038</v>
      </c>
      <c r="S10" s="11" t="inlineStr">
        <is>
          <t>Vanessa Souza</t>
        </is>
      </c>
      <c r="T10" s="11" t="inlineStr">
        <is>
          <t>Treinamento previsto no orçamento</t>
        </is>
      </c>
    </row>
    <row r="11" ht="20" customHeight="1">
      <c r="A11" s="4" t="inlineStr">
        <is>
          <t>SOL-2026-007</t>
        </is>
      </c>
      <c r="B11" s="5" t="n">
        <v>46037</v>
      </c>
      <c r="C11" s="5" t="n">
        <v>46038</v>
      </c>
      <c r="D11" s="6" t="inlineStr">
        <is>
          <t>Felipe Santos</t>
        </is>
      </c>
      <c r="E11" s="4" t="inlineStr">
        <is>
          <t>VP-1230</t>
        </is>
      </c>
      <c r="F11" s="6" t="inlineStr">
        <is>
          <t>Comercial</t>
        </is>
      </c>
      <c r="G11" s="6" t="inlineStr">
        <is>
          <t>Roberto Alves</t>
        </is>
      </c>
      <c r="H11" s="4" t="inlineStr">
        <is>
          <t>CC102</t>
        </is>
      </c>
      <c r="I11" s="6" t="inlineStr">
        <is>
          <t>Belo Horizonte</t>
        </is>
      </c>
      <c r="J11" s="4" t="inlineStr">
        <is>
          <t>MG</t>
        </is>
      </c>
      <c r="K11" s="6" t="inlineStr">
        <is>
          <t>Alimentação</t>
        </is>
      </c>
      <c r="L11" s="6" t="inlineStr">
        <is>
          <t>Jantar de negócios com prospect</t>
        </is>
      </c>
      <c r="M11" s="7" t="n">
        <v>240</v>
      </c>
      <c r="N11" s="6" t="inlineStr">
        <is>
          <t>Reembolso</t>
        </is>
      </c>
      <c r="O11" s="4" t="inlineStr">
        <is>
          <t>Não</t>
        </is>
      </c>
      <c r="P11" s="4" t="inlineStr">
        <is>
          <t>-</t>
        </is>
      </c>
      <c r="Q11" s="13" t="inlineStr">
        <is>
          <t>Rejeitado</t>
        </is>
      </c>
      <c r="R11" s="6" t="inlineStr">
        <is>
          <t>-</t>
        </is>
      </c>
      <c r="S11" s="6" t="inlineStr">
        <is>
          <t>-</t>
        </is>
      </c>
      <c r="T11" s="6" t="inlineStr">
        <is>
          <t>Falta nota fiscal original fiscal emitida</t>
        </is>
      </c>
    </row>
    <row r="12" ht="20" customHeight="1">
      <c r="A12" s="9" t="inlineStr">
        <is>
          <t>SOL-2026-008</t>
        </is>
      </c>
      <c r="B12" s="10" t="n">
        <v>46039</v>
      </c>
      <c r="C12" s="10" t="n">
        <v>46040</v>
      </c>
      <c r="D12" s="11" t="inlineStr">
        <is>
          <t>Beatriz Lima</t>
        </is>
      </c>
      <c r="E12" s="9" t="inlineStr">
        <is>
          <t>VP-1008</t>
        </is>
      </c>
      <c r="F12" s="11" t="inlineStr">
        <is>
          <t>TI</t>
        </is>
      </c>
      <c r="G12" s="11" t="inlineStr">
        <is>
          <t>Beatriz Lima</t>
        </is>
      </c>
      <c r="H12" s="9" t="inlineStr">
        <is>
          <t>CC201</t>
        </is>
      </c>
      <c r="I12" s="11" t="inlineStr">
        <is>
          <t>São Paulo</t>
        </is>
      </c>
      <c r="J12" s="9" t="inlineStr">
        <is>
          <t>SP</t>
        </is>
      </c>
      <c r="K12" s="11" t="inlineStr">
        <is>
          <t>Cursos</t>
        </is>
      </c>
      <c r="L12" s="11" t="inlineStr">
        <is>
          <t>Certificação AWS Solutions Architect</t>
        </is>
      </c>
      <c r="M12" s="12" t="n">
        <v>1450</v>
      </c>
      <c r="N12" s="11" t="inlineStr">
        <is>
          <t>Cartão Corporativo</t>
        </is>
      </c>
      <c r="O12" s="9" t="inlineStr">
        <is>
          <t>Sim</t>
        </is>
      </c>
      <c r="P12" s="9" t="inlineStr">
        <is>
          <t>NF-55102</t>
        </is>
      </c>
      <c r="Q12" s="8" t="inlineStr">
        <is>
          <t>Aprovado</t>
        </is>
      </c>
      <c r="R12" s="10" t="n">
        <v>46041</v>
      </c>
      <c r="S12" s="11" t="inlineStr">
        <is>
          <t>Diretoria</t>
        </is>
      </c>
      <c r="T12" s="11" t="inlineStr">
        <is>
          <t>Aprovado pelo Diretor de Tecnologia</t>
        </is>
      </c>
    </row>
    <row r="13" ht="20" customHeight="1">
      <c r="A13" s="4" t="inlineStr">
        <is>
          <t>SOL-2026-009</t>
        </is>
      </c>
      <c r="B13" s="5" t="n">
        <v>46040</v>
      </c>
      <c r="C13" s="5" t="n">
        <v>46041</v>
      </c>
      <c r="D13" s="6" t="inlineStr">
        <is>
          <t>Thiago Oliveira</t>
        </is>
      </c>
      <c r="E13" s="4" t="inlineStr">
        <is>
          <t>VP-1288</t>
        </is>
      </c>
      <c r="F13" s="6" t="inlineStr">
        <is>
          <t>Financeiro</t>
        </is>
      </c>
      <c r="G13" s="6" t="inlineStr">
        <is>
          <t>Fernando Rocha</t>
        </is>
      </c>
      <c r="H13" s="4" t="inlineStr">
        <is>
          <t>CC302</t>
        </is>
      </c>
      <c r="I13" s="6" t="inlineStr">
        <is>
          <t>São Paulo</t>
        </is>
      </c>
      <c r="J13" s="4" t="inlineStr">
        <is>
          <t>SP</t>
        </is>
      </c>
      <c r="K13" s="6" t="inlineStr">
        <is>
          <t>Material de Escritório</t>
        </is>
      </c>
      <c r="L13" s="6" t="inlineStr">
        <is>
          <t>Compra de suprimentos de urgência para tesouraria</t>
        </is>
      </c>
      <c r="M13" s="7" t="n">
        <v>145.2</v>
      </c>
      <c r="N13" s="6" t="inlineStr">
        <is>
          <t>Reembolso</t>
        </is>
      </c>
      <c r="O13" s="4" t="inlineStr">
        <is>
          <t>Sim</t>
        </is>
      </c>
      <c r="P13" s="4" t="inlineStr">
        <is>
          <t>NF-11234</t>
        </is>
      </c>
      <c r="Q13" s="8" t="inlineStr">
        <is>
          <t>Aprovado</t>
        </is>
      </c>
      <c r="R13" s="5" t="n">
        <v>46042</v>
      </c>
      <c r="S13" s="6" t="inlineStr">
        <is>
          <t>Fernando Rocha</t>
        </is>
      </c>
      <c r="T13" s="6" t="inlineStr">
        <is>
          <t>Material recebido pelo estoque</t>
        </is>
      </c>
    </row>
    <row r="14" ht="20" customHeight="1">
      <c r="A14" s="9" t="inlineStr">
        <is>
          <t>SOL-2026-010</t>
        </is>
      </c>
      <c r="B14" s="10" t="n">
        <v>46042</v>
      </c>
      <c r="C14" s="10" t="n">
        <v>46043</v>
      </c>
      <c r="D14" s="11" t="inlineStr">
        <is>
          <t>Amanda Ribeiro</t>
        </is>
      </c>
      <c r="E14" s="9" t="inlineStr">
        <is>
          <t>VP-1190</t>
        </is>
      </c>
      <c r="F14" s="11" t="inlineStr">
        <is>
          <t>RH</t>
        </is>
      </c>
      <c r="G14" s="11" t="inlineStr">
        <is>
          <t>Patricia Mendes</t>
        </is>
      </c>
      <c r="H14" s="9" t="inlineStr">
        <is>
          <t>CC402</t>
        </is>
      </c>
      <c r="I14" s="11" t="inlineStr">
        <is>
          <t>Curitiba</t>
        </is>
      </c>
      <c r="J14" s="9" t="inlineStr">
        <is>
          <t>PR</t>
        </is>
      </c>
      <c r="K14" s="11" t="inlineStr">
        <is>
          <t>Combustível</t>
        </is>
      </c>
      <c r="L14" s="11" t="inlineStr">
        <is>
          <t>Visita a unidade regional de Curitiba</t>
        </is>
      </c>
      <c r="M14" s="12" t="n">
        <v>230</v>
      </c>
      <c r="N14" s="11" t="inlineStr">
        <is>
          <t>Reembolso</t>
        </is>
      </c>
      <c r="O14" s="9" t="inlineStr">
        <is>
          <t>Sim</t>
        </is>
      </c>
      <c r="P14" s="9" t="inlineStr">
        <is>
          <t>NF-88192</t>
        </is>
      </c>
      <c r="Q14" s="8" t="inlineStr">
        <is>
          <t>Aprovado</t>
        </is>
      </c>
      <c r="R14" s="10" t="n">
        <v>46044</v>
      </c>
      <c r="S14" s="11" t="inlineStr">
        <is>
          <t>Patricia Mendes</t>
        </is>
      </c>
      <c r="T14" s="11" t="inlineStr">
        <is>
          <t>Km rodado conforme relatório</t>
        </is>
      </c>
    </row>
    <row r="15" ht="20" customHeight="1">
      <c r="A15" s="4" t="inlineStr">
        <is>
          <t>SOL-2026-011</t>
        </is>
      </c>
      <c r="B15" s="5" t="n">
        <v>46044</v>
      </c>
      <c r="C15" s="5" t="n">
        <v>46045</v>
      </c>
      <c r="D15" s="6" t="inlineStr">
        <is>
          <t>Rodrigo Nogueira</t>
        </is>
      </c>
      <c r="E15" s="4" t="inlineStr">
        <is>
          <t>VP-1310</t>
        </is>
      </c>
      <c r="F15" s="6" t="inlineStr">
        <is>
          <t>Comercial</t>
        </is>
      </c>
      <c r="G15" s="6" t="inlineStr">
        <is>
          <t>Roberto Alves</t>
        </is>
      </c>
      <c r="H15" s="4" t="inlineStr">
        <is>
          <t>CC101</t>
        </is>
      </c>
      <c r="I15" s="6" t="inlineStr">
        <is>
          <t>Porto Alegre</t>
        </is>
      </c>
      <c r="J15" s="4" t="inlineStr">
        <is>
          <t>RS</t>
        </is>
      </c>
      <c r="K15" s="6" t="inlineStr">
        <is>
          <t>Hospedagem</t>
        </is>
      </c>
      <c r="L15" s="6" t="inlineStr">
        <is>
          <t>Diária de hotel durante feira comercial</t>
        </is>
      </c>
      <c r="M15" s="7" t="n">
        <v>520</v>
      </c>
      <c r="N15" s="6" t="inlineStr">
        <is>
          <t>Cartão Corporativo</t>
        </is>
      </c>
      <c r="O15" s="4" t="inlineStr">
        <is>
          <t>Sim</t>
        </is>
      </c>
      <c r="P15" s="4" t="inlineStr">
        <is>
          <t>NF-33910</t>
        </is>
      </c>
      <c r="Q15" s="8" t="inlineStr">
        <is>
          <t>Aprovado</t>
        </is>
      </c>
      <c r="R15" s="5" t="n">
        <v>46046</v>
      </c>
      <c r="S15" s="6" t="inlineStr">
        <is>
          <t>Roberto Alves</t>
        </is>
      </c>
      <c r="T15" s="6" t="inlineStr">
        <is>
          <t>Valor excedeu limite em R$20 (aprovado)</t>
        </is>
      </c>
    </row>
    <row r="16" ht="20" customHeight="1">
      <c r="A16" s="9" t="inlineStr">
        <is>
          <t>SOL-2026-012</t>
        </is>
      </c>
      <c r="B16" s="10" t="n">
        <v>46046</v>
      </c>
      <c r="C16" s="10" t="n">
        <v>46047</v>
      </c>
      <c r="D16" s="11" t="inlineStr">
        <is>
          <t>Gabriela Dias</t>
        </is>
      </c>
      <c r="E16" s="9" t="inlineStr">
        <is>
          <t>VP-1255</t>
        </is>
      </c>
      <c r="F16" s="11" t="inlineStr">
        <is>
          <t>TI</t>
        </is>
      </c>
      <c r="G16" s="11" t="inlineStr">
        <is>
          <t>Beatriz Lima</t>
        </is>
      </c>
      <c r="H16" s="9" t="inlineStr">
        <is>
          <t>CC202</t>
        </is>
      </c>
      <c r="I16" s="11" t="inlineStr">
        <is>
          <t>São Paulo</t>
        </is>
      </c>
      <c r="J16" s="9" t="inlineStr">
        <is>
          <t>SP</t>
        </is>
      </c>
      <c r="K16" s="11" t="inlineStr">
        <is>
          <t>Táxi</t>
        </is>
      </c>
      <c r="L16" s="11" t="inlineStr">
        <is>
          <t>Deslocamento após expediente estendido</t>
        </is>
      </c>
      <c r="M16" s="12" t="n">
        <v>65</v>
      </c>
      <c r="N16" s="11" t="inlineStr">
        <is>
          <t>Reembolso</t>
        </is>
      </c>
      <c r="O16" s="9" t="inlineStr">
        <is>
          <t>Sim</t>
        </is>
      </c>
      <c r="P16" s="9" t="inlineStr">
        <is>
          <t>NF-22109</t>
        </is>
      </c>
      <c r="Q16" s="8" t="inlineStr">
        <is>
          <t>Aprovado</t>
        </is>
      </c>
      <c r="R16" s="10" t="n">
        <v>46048</v>
      </c>
      <c r="S16" s="11" t="inlineStr">
        <is>
          <t>Beatriz Lima</t>
        </is>
      </c>
      <c r="T16" s="11" t="inlineStr">
        <is>
          <t>Autorizado por hora extra</t>
        </is>
      </c>
    </row>
    <row r="17" ht="20" customHeight="1">
      <c r="A17" s="4" t="inlineStr">
        <is>
          <t>SOL-2026-013</t>
        </is>
      </c>
      <c r="B17" s="5" t="n">
        <v>46047</v>
      </c>
      <c r="C17" s="5" t="n">
        <v>46048</v>
      </c>
      <c r="D17" s="6" t="inlineStr">
        <is>
          <t>Marcelo Souza</t>
        </is>
      </c>
      <c r="E17" s="4" t="inlineStr">
        <is>
          <t>VP-1177</t>
        </is>
      </c>
      <c r="F17" s="6" t="inlineStr">
        <is>
          <t>Compliance</t>
        </is>
      </c>
      <c r="G17" s="6" t="inlineStr">
        <is>
          <t>Gustavo Carvalho</t>
        </is>
      </c>
      <c r="H17" s="4" t="inlineStr">
        <is>
          <t>CC501</t>
        </is>
      </c>
      <c r="I17" s="6" t="inlineStr">
        <is>
          <t>São Paulo</t>
        </is>
      </c>
      <c r="J17" s="4" t="inlineStr">
        <is>
          <t>SP</t>
        </is>
      </c>
      <c r="K17" s="6" t="inlineStr">
        <is>
          <t>Estacionamento</t>
        </is>
      </c>
      <c r="L17" s="6" t="inlineStr">
        <is>
          <t>Estacionamento reunião com auditores externos</t>
        </is>
      </c>
      <c r="M17" s="7" t="n">
        <v>75</v>
      </c>
      <c r="N17" s="6" t="inlineStr">
        <is>
          <t>Reembolso</t>
        </is>
      </c>
      <c r="O17" s="4" t="inlineStr">
        <is>
          <t>Sim</t>
        </is>
      </c>
      <c r="P17" s="4" t="inlineStr">
        <is>
          <t>NF-90812</t>
        </is>
      </c>
      <c r="Q17" s="8" t="inlineStr">
        <is>
          <t>Aprovado</t>
        </is>
      </c>
      <c r="R17" s="5" t="n">
        <v>46049</v>
      </c>
      <c r="S17" s="6" t="inlineStr">
        <is>
          <t>Gustavo Carvalho</t>
        </is>
      </c>
      <c r="T17" s="6" t="inlineStr">
        <is>
          <t>Reembolso padrão</t>
        </is>
      </c>
    </row>
    <row r="18" ht="20" customHeight="1">
      <c r="A18" s="9" t="inlineStr">
        <is>
          <t>SOL-2026-014</t>
        </is>
      </c>
      <c r="B18" s="10" t="n">
        <v>46049</v>
      </c>
      <c r="C18" s="10" t="n">
        <v>46050</v>
      </c>
      <c r="D18" s="11" t="inlineStr">
        <is>
          <t>Fernanda Lima</t>
        </is>
      </c>
      <c r="E18" s="9" t="inlineStr">
        <is>
          <t>VP-1040</t>
        </is>
      </c>
      <c r="F18" s="11" t="inlineStr">
        <is>
          <t>Comunicação</t>
        </is>
      </c>
      <c r="G18" s="11" t="inlineStr">
        <is>
          <t>Vanessa Souza</t>
        </is>
      </c>
      <c r="H18" s="9" t="inlineStr">
        <is>
          <t>CC601</t>
        </is>
      </c>
      <c r="I18" s="11" t="inlineStr">
        <is>
          <t>Rio de Janeiro</t>
        </is>
      </c>
      <c r="J18" s="9" t="inlineStr">
        <is>
          <t>RJ</t>
        </is>
      </c>
      <c r="K18" s="11" t="inlineStr">
        <is>
          <t>Uber</t>
        </is>
      </c>
      <c r="L18" s="11" t="inlineStr">
        <is>
          <t>Deslocamento para cobertura de evento corporativo</t>
        </is>
      </c>
      <c r="M18" s="12" t="n">
        <v>110</v>
      </c>
      <c r="N18" s="11" t="inlineStr">
        <is>
          <t>Reembolso</t>
        </is>
      </c>
      <c r="O18" s="9" t="inlineStr">
        <is>
          <t>Sim</t>
        </is>
      </c>
      <c r="P18" s="9" t="inlineStr">
        <is>
          <t>NF-66120</t>
        </is>
      </c>
      <c r="Q18" s="8" t="inlineStr">
        <is>
          <t>Aprovado</t>
        </is>
      </c>
      <c r="R18" s="10" t="n">
        <v>46051</v>
      </c>
      <c r="S18" s="11" t="inlineStr">
        <is>
          <t>Vanessa Souza</t>
        </is>
      </c>
      <c r="T18" s="11" t="inlineStr">
        <is>
          <t>Dentro do limite</t>
        </is>
      </c>
    </row>
    <row r="19" ht="20" customHeight="1">
      <c r="A19" s="4" t="inlineStr">
        <is>
          <t>SOL-2026-015</t>
        </is>
      </c>
      <c r="B19" s="5" t="n">
        <v>46050</v>
      </c>
      <c r="C19" s="5" t="n">
        <v>46051</v>
      </c>
      <c r="D19" s="6" t="inlineStr">
        <is>
          <t>Carlos Eduardo Silva</t>
        </is>
      </c>
      <c r="E19" s="4" t="inlineStr">
        <is>
          <t>VP-1024</t>
        </is>
      </c>
      <c r="F19" s="6" t="inlineStr">
        <is>
          <t>Comercial</t>
        </is>
      </c>
      <c r="G19" s="6" t="inlineStr">
        <is>
          <t>Roberto Alves</t>
        </is>
      </c>
      <c r="H19" s="4" t="inlineStr">
        <is>
          <t>CC101</t>
        </is>
      </c>
      <c r="I19" s="6" t="inlineStr">
        <is>
          <t>São Paulo</t>
        </is>
      </c>
      <c r="J19" s="4" t="inlineStr">
        <is>
          <t>SP</t>
        </is>
      </c>
      <c r="K19" s="6" t="inlineStr">
        <is>
          <t>Alimentação</t>
        </is>
      </c>
      <c r="L19" s="6" t="inlineStr">
        <is>
          <t>Almoço individual em viagem de negócios</t>
        </is>
      </c>
      <c r="M19" s="7" t="n">
        <v>95</v>
      </c>
      <c r="N19" s="6" t="inlineStr">
        <is>
          <t>Reembolso</t>
        </is>
      </c>
      <c r="O19" s="4" t="inlineStr">
        <is>
          <t>Sim</t>
        </is>
      </c>
      <c r="P19" s="4" t="inlineStr">
        <is>
          <t>NF-44910</t>
        </is>
      </c>
      <c r="Q19" s="8" t="inlineStr">
        <is>
          <t>Aprovado</t>
        </is>
      </c>
      <c r="R19" s="5" t="n">
        <v>46052</v>
      </c>
      <c r="S19" s="6" t="inlineStr">
        <is>
          <t>Roberto Alves</t>
        </is>
      </c>
      <c r="T19" s="6" t="inlineStr">
        <is>
          <t>Dentro do limite</t>
        </is>
      </c>
    </row>
    <row r="20" ht="20" customHeight="1">
      <c r="A20" s="9" t="inlineStr">
        <is>
          <t>SOL-2026-016</t>
        </is>
      </c>
      <c r="B20" s="10" t="n">
        <v>46054</v>
      </c>
      <c r="C20" s="10" t="n">
        <v>46055</v>
      </c>
      <c r="D20" s="11" t="inlineStr">
        <is>
          <t>Pedro Henrique</t>
        </is>
      </c>
      <c r="E20" s="9" t="inlineStr">
        <is>
          <t>VP-1350</t>
        </is>
      </c>
      <c r="F20" s="11" t="inlineStr">
        <is>
          <t>Financeiro</t>
        </is>
      </c>
      <c r="G20" s="11" t="inlineStr">
        <is>
          <t>Fernando Rocha</t>
        </is>
      </c>
      <c r="H20" s="9" t="inlineStr">
        <is>
          <t>CC301</t>
        </is>
      </c>
      <c r="I20" s="11" t="inlineStr">
        <is>
          <t>São Paulo</t>
        </is>
      </c>
      <c r="J20" s="9" t="inlineStr">
        <is>
          <t>SP</t>
        </is>
      </c>
      <c r="K20" s="11" t="inlineStr">
        <is>
          <t>Pedágio</t>
        </is>
      </c>
      <c r="L20" s="11" t="inlineStr">
        <is>
          <t>Deslocamento de carro particular para filial</t>
        </is>
      </c>
      <c r="M20" s="12" t="n">
        <v>42.8</v>
      </c>
      <c r="N20" s="11" t="inlineStr">
        <is>
          <t>Reembolso</t>
        </is>
      </c>
      <c r="O20" s="9" t="inlineStr">
        <is>
          <t>Sim</t>
        </is>
      </c>
      <c r="P20" s="9" t="inlineStr">
        <is>
          <t>NF-11029</t>
        </is>
      </c>
      <c r="Q20" s="8" t="inlineStr">
        <is>
          <t>Aprovado</t>
        </is>
      </c>
      <c r="R20" s="10" t="n">
        <v>46056</v>
      </c>
      <c r="S20" s="11" t="inlineStr">
        <is>
          <t>Fernando Rocha</t>
        </is>
      </c>
      <c r="T20" s="11" t="inlineStr">
        <is>
          <t>Comprovante de pedágio anexado</t>
        </is>
      </c>
    </row>
    <row r="21" ht="20" customHeight="1">
      <c r="A21" s="4" t="inlineStr">
        <is>
          <t>SOL-2026-017</t>
        </is>
      </c>
      <c r="B21" s="5" t="n">
        <v>46055</v>
      </c>
      <c r="C21" s="5" t="n">
        <v>46056</v>
      </c>
      <c r="D21" s="6" t="inlineStr">
        <is>
          <t>Mariana Costa</t>
        </is>
      </c>
      <c r="E21" s="4" t="inlineStr">
        <is>
          <t>VP-1105</t>
        </is>
      </c>
      <c r="F21" s="6" t="inlineStr">
        <is>
          <t>TI</t>
        </is>
      </c>
      <c r="G21" s="6" t="inlineStr">
        <is>
          <t>Beatriz Lima</t>
        </is>
      </c>
      <c r="H21" s="4" t="inlineStr">
        <is>
          <t>CC201</t>
        </is>
      </c>
      <c r="I21" s="6" t="inlineStr">
        <is>
          <t>São Paulo</t>
        </is>
      </c>
      <c r="J21" s="4" t="inlineStr">
        <is>
          <t>SP</t>
        </is>
      </c>
      <c r="K21" s="6" t="inlineStr">
        <is>
          <t>Material de Escritório</t>
        </is>
      </c>
      <c r="L21" s="6" t="inlineStr">
        <is>
          <t>Periféricos de informática de emergência</t>
        </is>
      </c>
      <c r="M21" s="7" t="n">
        <v>320</v>
      </c>
      <c r="N21" s="6" t="inlineStr">
        <is>
          <t>Reembolso</t>
        </is>
      </c>
      <c r="O21" s="4" t="inlineStr">
        <is>
          <t>Não</t>
        </is>
      </c>
      <c r="P21" s="4" t="inlineStr">
        <is>
          <t>-</t>
        </is>
      </c>
      <c r="Q21" s="13" t="inlineStr">
        <is>
          <t>Rejeitado</t>
        </is>
      </c>
      <c r="R21" s="6" t="inlineStr">
        <is>
          <t>-</t>
        </is>
      </c>
      <c r="S21" s="6" t="inlineStr">
        <is>
          <t>-</t>
        </is>
      </c>
      <c r="T21" s="6" t="inlineStr">
        <is>
          <t>Ausência de Nota Fiscal com CNPJ da empresa</t>
        </is>
      </c>
    </row>
    <row r="22" ht="20" customHeight="1">
      <c r="A22" s="9" t="inlineStr">
        <is>
          <t>SOL-2026-018</t>
        </is>
      </c>
      <c r="B22" s="10" t="n">
        <v>46057</v>
      </c>
      <c r="C22" s="10" t="n">
        <v>46058</v>
      </c>
      <c r="D22" s="11" t="inlineStr">
        <is>
          <t>Lucas Fernandes</t>
        </is>
      </c>
      <c r="E22" s="9" t="inlineStr">
        <is>
          <t>VP-1089</t>
        </is>
      </c>
      <c r="F22" s="11" t="inlineStr">
        <is>
          <t>Financeiro</t>
        </is>
      </c>
      <c r="G22" s="11" t="inlineStr">
        <is>
          <t>Fernando Rocha</t>
        </is>
      </c>
      <c r="H22" s="9" t="inlineStr">
        <is>
          <t>CC301</t>
        </is>
      </c>
      <c r="I22" s="11" t="inlineStr">
        <is>
          <t>Belo Horizonte</t>
        </is>
      </c>
      <c r="J22" s="9" t="inlineStr">
        <is>
          <t>MG</t>
        </is>
      </c>
      <c r="K22" s="11" t="inlineStr">
        <is>
          <t>Hospedagem</t>
        </is>
      </c>
      <c r="L22" s="11" t="inlineStr">
        <is>
          <t>Hospedagem reunião fiscal regional</t>
        </is>
      </c>
      <c r="M22" s="12" t="n">
        <v>480</v>
      </c>
      <c r="N22" s="11" t="inlineStr">
        <is>
          <t>Cartão Corporativo</t>
        </is>
      </c>
      <c r="O22" s="9" t="inlineStr">
        <is>
          <t>Sim</t>
        </is>
      </c>
      <c r="P22" s="9" t="inlineStr">
        <is>
          <t>NF-77312</t>
        </is>
      </c>
      <c r="Q22" s="8" t="inlineStr">
        <is>
          <t>Aprovado</t>
        </is>
      </c>
      <c r="R22" s="10" t="n">
        <v>46059</v>
      </c>
      <c r="S22" s="11" t="inlineStr">
        <is>
          <t>Fernando Rocha</t>
        </is>
      </c>
      <c r="T22" s="11" t="inlineStr">
        <is>
          <t>Dentro do limite</t>
        </is>
      </c>
    </row>
    <row r="23" ht="20" customHeight="1">
      <c r="A23" s="4" t="inlineStr">
        <is>
          <t>SOL-2026-019</t>
        </is>
      </c>
      <c r="B23" s="5" t="n">
        <v>46058</v>
      </c>
      <c r="C23" s="5" t="n">
        <v>46059</v>
      </c>
      <c r="D23" s="6" t="inlineStr">
        <is>
          <t>Camila Rocha</t>
        </is>
      </c>
      <c r="E23" s="4" t="inlineStr">
        <is>
          <t>VP-1142</t>
        </is>
      </c>
      <c r="F23" s="6" t="inlineStr">
        <is>
          <t>RH</t>
        </is>
      </c>
      <c r="G23" s="6" t="inlineStr">
        <is>
          <t>Patricia Mendes</t>
        </is>
      </c>
      <c r="H23" s="4" t="inlineStr">
        <is>
          <t>CC401</t>
        </is>
      </c>
      <c r="I23" s="6" t="inlineStr">
        <is>
          <t>São Paulo</t>
        </is>
      </c>
      <c r="J23" s="4" t="inlineStr">
        <is>
          <t>SP</t>
        </is>
      </c>
      <c r="K23" s="6" t="inlineStr">
        <is>
          <t>Cursos</t>
        </is>
      </c>
      <c r="L23" s="6" t="inlineStr">
        <is>
          <t>Workshop de Gestão por Competências</t>
        </is>
      </c>
      <c r="M23" s="7" t="n">
        <v>750</v>
      </c>
      <c r="N23" s="6" t="inlineStr">
        <is>
          <t>Cartão Corporativo</t>
        </is>
      </c>
      <c r="O23" s="4" t="inlineStr">
        <is>
          <t>Sim</t>
        </is>
      </c>
      <c r="P23" s="4" t="inlineStr">
        <is>
          <t>NF-88210</t>
        </is>
      </c>
      <c r="Q23" s="8" t="inlineStr">
        <is>
          <t>Aprovado</t>
        </is>
      </c>
      <c r="R23" s="5" t="n">
        <v>46060</v>
      </c>
      <c r="S23" s="6" t="inlineStr">
        <is>
          <t>Patricia Mendes</t>
        </is>
      </c>
      <c r="T23" s="6" t="inlineStr">
        <is>
          <t>Treinamento interno</t>
        </is>
      </c>
    </row>
    <row r="24" ht="20" customHeight="1">
      <c r="A24" s="9" t="inlineStr">
        <is>
          <t>SOL-2026-020</t>
        </is>
      </c>
      <c r="B24" s="10" t="n">
        <v>46060</v>
      </c>
      <c r="C24" s="10" t="n">
        <v>46061</v>
      </c>
      <c r="D24" s="11" t="inlineStr">
        <is>
          <t>Felipe Santos</t>
        </is>
      </c>
      <c r="E24" s="9" t="inlineStr">
        <is>
          <t>VP-1230</t>
        </is>
      </c>
      <c r="F24" s="11" t="inlineStr">
        <is>
          <t>Comercial</t>
        </is>
      </c>
      <c r="G24" s="11" t="inlineStr">
        <is>
          <t>Roberto Alves</t>
        </is>
      </c>
      <c r="H24" s="9" t="inlineStr">
        <is>
          <t>CC102</t>
        </is>
      </c>
      <c r="I24" s="11" t="inlineStr">
        <is>
          <t>Salvador</t>
        </is>
      </c>
      <c r="J24" s="9" t="inlineStr">
        <is>
          <t>BA</t>
        </is>
      </c>
      <c r="K24" s="11" t="inlineStr">
        <is>
          <t>Passagem Aérea</t>
        </is>
      </c>
      <c r="L24" s="11" t="inlineStr">
        <is>
          <t>Passagem para prospeção de grandes contas</t>
        </is>
      </c>
      <c r="M24" s="12" t="n">
        <v>1380</v>
      </c>
      <c r="N24" s="11" t="inlineStr">
        <is>
          <t>Faturamento Direct</t>
        </is>
      </c>
      <c r="O24" s="9" t="inlineStr">
        <is>
          <t>Sim</t>
        </is>
      </c>
      <c r="P24" s="9" t="inlineStr">
        <is>
          <t>NF-10293</t>
        </is>
      </c>
      <c r="Q24" s="8" t="inlineStr">
        <is>
          <t>Aprovado</t>
        </is>
      </c>
      <c r="R24" s="10" t="n">
        <v>46062</v>
      </c>
      <c r="S24" s="11" t="inlineStr">
        <is>
          <t>Roberto Alves</t>
        </is>
      </c>
      <c r="T24" s="11" t="inlineStr">
        <is>
          <t>Aprovado conforme política</t>
        </is>
      </c>
    </row>
    <row r="25" ht="20" customHeight="1">
      <c r="A25" s="4" t="inlineStr">
        <is>
          <t>SOL-2026-021</t>
        </is>
      </c>
      <c r="B25" s="5" t="n">
        <v>46061</v>
      </c>
      <c r="C25" s="5" t="n">
        <v>46062</v>
      </c>
      <c r="D25" s="6" t="inlineStr">
        <is>
          <t>Rafael Almeida</t>
        </is>
      </c>
      <c r="E25" s="4" t="inlineStr">
        <is>
          <t>VP-1201</t>
        </is>
      </c>
      <c r="F25" s="6" t="inlineStr">
        <is>
          <t>Compliance</t>
        </is>
      </c>
      <c r="G25" s="6" t="inlineStr">
        <is>
          <t>Gustavo Carvalho</t>
        </is>
      </c>
      <c r="H25" s="4" t="inlineStr">
        <is>
          <t>CC501</t>
        </is>
      </c>
      <c r="I25" s="6" t="inlineStr">
        <is>
          <t>São Paulo</t>
        </is>
      </c>
      <c r="J25" s="4" t="inlineStr">
        <is>
          <t>SP</t>
        </is>
      </c>
      <c r="K25" s="6" t="inlineStr">
        <is>
          <t>Uber</t>
        </is>
      </c>
      <c r="L25" s="6" t="inlineStr">
        <is>
          <t>Deslocamento reunião Faria Lima</t>
        </is>
      </c>
      <c r="M25" s="7" t="n">
        <v>48</v>
      </c>
      <c r="N25" s="6" t="inlineStr">
        <is>
          <t>Reembolso</t>
        </is>
      </c>
      <c r="O25" s="4" t="inlineStr">
        <is>
          <t>Sim</t>
        </is>
      </c>
      <c r="P25" s="4" t="inlineStr">
        <is>
          <t>NF-55410</t>
        </is>
      </c>
      <c r="Q25" s="8" t="inlineStr">
        <is>
          <t>Aprovado</t>
        </is>
      </c>
      <c r="R25" s="5" t="n">
        <v>46063</v>
      </c>
      <c r="S25" s="6" t="inlineStr">
        <is>
          <t>Gustavo Carvalho</t>
        </is>
      </c>
      <c r="T25" s="6" t="inlineStr">
        <is>
          <t>Ok</t>
        </is>
      </c>
    </row>
    <row r="26" ht="20" customHeight="1">
      <c r="A26" s="9" t="inlineStr">
        <is>
          <t>SOL-2026-022</t>
        </is>
      </c>
      <c r="B26" s="10" t="n">
        <v>46063</v>
      </c>
      <c r="C26" s="10" t="n">
        <v>46064</v>
      </c>
      <c r="D26" s="11" t="inlineStr">
        <is>
          <t>Juliana Martins</t>
        </is>
      </c>
      <c r="E26" s="9" t="inlineStr">
        <is>
          <t>VP-1055</t>
        </is>
      </c>
      <c r="F26" s="11" t="inlineStr">
        <is>
          <t>Comunicação</t>
        </is>
      </c>
      <c r="G26" s="11" t="inlineStr">
        <is>
          <t>Vanessa Souza</t>
        </is>
      </c>
      <c r="H26" s="9" t="inlineStr">
        <is>
          <t>CC601</t>
        </is>
      </c>
      <c r="I26" s="11" t="inlineStr">
        <is>
          <t>São Paulo</t>
        </is>
      </c>
      <c r="J26" s="9" t="inlineStr">
        <is>
          <t>SP</t>
        </is>
      </c>
      <c r="K26" s="11" t="inlineStr">
        <is>
          <t>Alimentação</t>
        </is>
      </c>
      <c r="L26" s="11" t="inlineStr">
        <is>
          <t>Jantar de alinhamento com agência de imprensa</t>
        </is>
      </c>
      <c r="M26" s="12" t="n">
        <v>210</v>
      </c>
      <c r="N26" s="11" t="inlineStr">
        <is>
          <t>Reembolso</t>
        </is>
      </c>
      <c r="O26" s="9" t="inlineStr">
        <is>
          <t>Sim</t>
        </is>
      </c>
      <c r="P26" s="9" t="inlineStr">
        <is>
          <t>NF-99482</t>
        </is>
      </c>
      <c r="Q26" s="13" t="inlineStr">
        <is>
          <t>Rejeitado</t>
        </is>
      </c>
      <c r="R26" s="11" t="inlineStr">
        <is>
          <t>-</t>
        </is>
      </c>
      <c r="S26" s="11" t="inlineStr">
        <is>
          <t>-</t>
        </is>
      </c>
      <c r="T26" s="11" t="inlineStr">
        <is>
          <t>Valor acima do limite sem justificativa prévia</t>
        </is>
      </c>
    </row>
    <row r="27" ht="20" customHeight="1">
      <c r="A27" s="4" t="inlineStr">
        <is>
          <t>SOL-2026-023</t>
        </is>
      </c>
      <c r="B27" s="5" t="n">
        <v>46065</v>
      </c>
      <c r="C27" s="5" t="n">
        <v>46066</v>
      </c>
      <c r="D27" s="6" t="inlineStr">
        <is>
          <t>Thiago Oliveira</t>
        </is>
      </c>
      <c r="E27" s="4" t="inlineStr">
        <is>
          <t>VP-1288</t>
        </is>
      </c>
      <c r="F27" s="6" t="inlineStr">
        <is>
          <t>Financeiro</t>
        </is>
      </c>
      <c r="G27" s="6" t="inlineStr">
        <is>
          <t>Fernando Rocha</t>
        </is>
      </c>
      <c r="H27" s="4" t="inlineStr">
        <is>
          <t>CC302</t>
        </is>
      </c>
      <c r="I27" s="6" t="inlineStr">
        <is>
          <t>São Paulo</t>
        </is>
      </c>
      <c r="J27" s="4" t="inlineStr">
        <is>
          <t>SP</t>
        </is>
      </c>
      <c r="K27" s="6" t="inlineStr">
        <is>
          <t>Estacionamento</t>
        </is>
      </c>
      <c r="L27" s="6" t="inlineStr">
        <is>
          <t>Estacionamento idas ao banco central regional</t>
        </is>
      </c>
      <c r="M27" s="7" t="n">
        <v>60</v>
      </c>
      <c r="N27" s="6" t="inlineStr">
        <is>
          <t>Reembolso</t>
        </is>
      </c>
      <c r="O27" s="4" t="inlineStr">
        <is>
          <t>Sim</t>
        </is>
      </c>
      <c r="P27" s="4" t="inlineStr">
        <is>
          <t>NF-33219</t>
        </is>
      </c>
      <c r="Q27" s="8" t="inlineStr">
        <is>
          <t>Aprovado</t>
        </is>
      </c>
      <c r="R27" s="5" t="n">
        <v>46067</v>
      </c>
      <c r="S27" s="6" t="inlineStr">
        <is>
          <t>Fernando Rocha</t>
        </is>
      </c>
      <c r="T27" s="6" t="inlineStr">
        <is>
          <t>Conforme comprovantes</t>
        </is>
      </c>
    </row>
    <row r="28" ht="20" customHeight="1">
      <c r="A28" s="9" t="inlineStr">
        <is>
          <t>SOL-2026-024</t>
        </is>
      </c>
      <c r="B28" s="10" t="n">
        <v>46067</v>
      </c>
      <c r="C28" s="10" t="n">
        <v>46068</v>
      </c>
      <c r="D28" s="11" t="inlineStr">
        <is>
          <t>Amanda Ribeiro</t>
        </is>
      </c>
      <c r="E28" s="9" t="inlineStr">
        <is>
          <t>VP-1190</t>
        </is>
      </c>
      <c r="F28" s="11" t="inlineStr">
        <is>
          <t>RH</t>
        </is>
      </c>
      <c r="G28" s="11" t="inlineStr">
        <is>
          <t>Patricia Mendes</t>
        </is>
      </c>
      <c r="H28" s="9" t="inlineStr">
        <is>
          <t>CC402</t>
        </is>
      </c>
      <c r="I28" s="11" t="inlineStr">
        <is>
          <t>São Paulo</t>
        </is>
      </c>
      <c r="J28" s="9" t="inlineStr">
        <is>
          <t>SP</t>
        </is>
      </c>
      <c r="K28" s="11" t="inlineStr">
        <is>
          <t>Uber</t>
        </is>
      </c>
      <c r="L28" s="11" t="inlineStr">
        <is>
          <t>Uber para visita domiciliar de assistência social</t>
        </is>
      </c>
      <c r="M28" s="12" t="n">
        <v>52.3</v>
      </c>
      <c r="N28" s="11" t="inlineStr">
        <is>
          <t>Reembolso</t>
        </is>
      </c>
      <c r="O28" s="9" t="inlineStr">
        <is>
          <t>Sim</t>
        </is>
      </c>
      <c r="P28" s="9" t="inlineStr">
        <is>
          <t>NF-66391</t>
        </is>
      </c>
      <c r="Q28" s="8" t="inlineStr">
        <is>
          <t>Aprovado</t>
        </is>
      </c>
      <c r="R28" s="10" t="n">
        <v>46069</v>
      </c>
      <c r="S28" s="11" t="inlineStr">
        <is>
          <t>Patricia Mendes</t>
        </is>
      </c>
      <c r="T28" s="11" t="inlineStr">
        <is>
          <t>Aprovado</t>
        </is>
      </c>
    </row>
    <row r="29" ht="20" customHeight="1">
      <c r="A29" s="4" t="inlineStr">
        <is>
          <t>SOL-2026-025</t>
        </is>
      </c>
      <c r="B29" s="5" t="n">
        <v>46068</v>
      </c>
      <c r="C29" s="5" t="n">
        <v>46069</v>
      </c>
      <c r="D29" s="6" t="inlineStr">
        <is>
          <t>Rodrigo Nogueira</t>
        </is>
      </c>
      <c r="E29" s="4" t="inlineStr">
        <is>
          <t>VP-1310</t>
        </is>
      </c>
      <c r="F29" s="6" t="inlineStr">
        <is>
          <t>Comercial</t>
        </is>
      </c>
      <c r="G29" s="6" t="inlineStr">
        <is>
          <t>Roberto Alves</t>
        </is>
      </c>
      <c r="H29" s="4" t="inlineStr">
        <is>
          <t>CC101</t>
        </is>
      </c>
      <c r="I29" s="6" t="inlineStr">
        <is>
          <t>Curitiba</t>
        </is>
      </c>
      <c r="J29" s="4" t="inlineStr">
        <is>
          <t>PR</t>
        </is>
      </c>
      <c r="K29" s="6" t="inlineStr">
        <is>
          <t>Combustível</t>
        </is>
      </c>
      <c r="L29" s="6" t="inlineStr">
        <is>
          <t>Reembolso de gasolina rota de clientes PR</t>
        </is>
      </c>
      <c r="M29" s="7" t="n">
        <v>290</v>
      </c>
      <c r="N29" s="6" t="inlineStr">
        <is>
          <t>Reembolso</t>
        </is>
      </c>
      <c r="O29" s="4" t="inlineStr">
        <is>
          <t>Sim</t>
        </is>
      </c>
      <c r="P29" s="4" t="inlineStr">
        <is>
          <t>NF-88201</t>
        </is>
      </c>
      <c r="Q29" s="8" t="inlineStr">
        <is>
          <t>Aprovado</t>
        </is>
      </c>
      <c r="R29" s="5" t="n">
        <v>46070</v>
      </c>
      <c r="S29" s="6" t="inlineStr">
        <is>
          <t>Roberto Alves</t>
        </is>
      </c>
      <c r="T29" s="6" t="inlineStr">
        <is>
          <t>Aprovado com relatório de Km</t>
        </is>
      </c>
    </row>
    <row r="30" ht="20" customHeight="1">
      <c r="A30" s="9" t="inlineStr">
        <is>
          <t>SOL-2026-026</t>
        </is>
      </c>
      <c r="B30" s="10" t="n">
        <v>46071</v>
      </c>
      <c r="C30" s="10" t="n">
        <v>46072</v>
      </c>
      <c r="D30" s="11" t="inlineStr">
        <is>
          <t>Gabriela Dias</t>
        </is>
      </c>
      <c r="E30" s="9" t="inlineStr">
        <is>
          <t>VP-1255</t>
        </is>
      </c>
      <c r="F30" s="11" t="inlineStr">
        <is>
          <t>TI</t>
        </is>
      </c>
      <c r="G30" s="11" t="inlineStr">
        <is>
          <t>Beatriz Lima</t>
        </is>
      </c>
      <c r="H30" s="9" t="inlineStr">
        <is>
          <t>CC202</t>
        </is>
      </c>
      <c r="I30" s="11" t="inlineStr">
        <is>
          <t>São Paulo</t>
        </is>
      </c>
      <c r="J30" s="9" t="inlineStr">
        <is>
          <t>SP</t>
        </is>
      </c>
      <c r="K30" s="11" t="inlineStr">
        <is>
          <t>Alimentação</t>
        </is>
      </c>
      <c r="L30" s="11" t="inlineStr">
        <is>
          <t>Lanche da equipe durante migração de servidor</t>
        </is>
      </c>
      <c r="M30" s="12" t="n">
        <v>160</v>
      </c>
      <c r="N30" s="11" t="inlineStr">
        <is>
          <t>Cartão Corporativo</t>
        </is>
      </c>
      <c r="O30" s="9" t="inlineStr">
        <is>
          <t>Sim</t>
        </is>
      </c>
      <c r="P30" s="9" t="inlineStr">
        <is>
          <t>NF-11928</t>
        </is>
      </c>
      <c r="Q30" s="8" t="inlineStr">
        <is>
          <t>Aprovado</t>
        </is>
      </c>
      <c r="R30" s="10" t="n">
        <v>46073</v>
      </c>
      <c r="S30" s="11" t="inlineStr">
        <is>
          <t>Beatriz Lima</t>
        </is>
      </c>
      <c r="T30" s="11" t="inlineStr">
        <is>
          <t>Trabalho extraordinário autorização IT</t>
        </is>
      </c>
    </row>
    <row r="31" ht="20" customHeight="1">
      <c r="A31" s="4" t="inlineStr">
        <is>
          <t>SOL-2026-027</t>
        </is>
      </c>
      <c r="B31" s="5" t="n">
        <v>46073</v>
      </c>
      <c r="C31" s="5" t="n">
        <v>46074</v>
      </c>
      <c r="D31" s="6" t="inlineStr">
        <is>
          <t>Marcelo Souza</t>
        </is>
      </c>
      <c r="E31" s="4" t="inlineStr">
        <is>
          <t>VP-1177</t>
        </is>
      </c>
      <c r="F31" s="6" t="inlineStr">
        <is>
          <t>Compliance</t>
        </is>
      </c>
      <c r="G31" s="6" t="inlineStr">
        <is>
          <t>Gustavo Carvalho</t>
        </is>
      </c>
      <c r="H31" s="4" t="inlineStr">
        <is>
          <t>CC501</t>
        </is>
      </c>
      <c r="I31" s="6" t="inlineStr">
        <is>
          <t>Brasília</t>
        </is>
      </c>
      <c r="J31" s="4" t="inlineStr">
        <is>
          <t>DF</t>
        </is>
      </c>
      <c r="K31" s="6" t="inlineStr">
        <is>
          <t>Hospedagem</t>
        </is>
      </c>
      <c r="L31" s="6" t="inlineStr">
        <is>
          <t>Hospedagem acompanhamento de processo administrativo</t>
        </is>
      </c>
      <c r="M31" s="7" t="n">
        <v>490</v>
      </c>
      <c r="N31" s="6" t="inlineStr">
        <is>
          <t>Cartão Corporativo</t>
        </is>
      </c>
      <c r="O31" s="4" t="inlineStr">
        <is>
          <t>Sim</t>
        </is>
      </c>
      <c r="P31" s="4" t="inlineStr">
        <is>
          <t>NF-77401</t>
        </is>
      </c>
      <c r="Q31" s="8" t="inlineStr">
        <is>
          <t>Aprovado</t>
        </is>
      </c>
      <c r="R31" s="5" t="n">
        <v>46075</v>
      </c>
      <c r="S31" s="6" t="inlineStr">
        <is>
          <t>Gustavo Carvalho</t>
        </is>
      </c>
      <c r="T31" s="6" t="inlineStr">
        <is>
          <t>Dentro do limite diário</t>
        </is>
      </c>
    </row>
    <row r="32" ht="20" customHeight="1">
      <c r="A32" s="9" t="inlineStr">
        <is>
          <t>SOL-2026-028</t>
        </is>
      </c>
      <c r="B32" s="10" t="n">
        <v>46075</v>
      </c>
      <c r="C32" s="10" t="n">
        <v>46076</v>
      </c>
      <c r="D32" s="11" t="inlineStr">
        <is>
          <t>Fernanda Lima</t>
        </is>
      </c>
      <c r="E32" s="9" t="inlineStr">
        <is>
          <t>VP-1040</t>
        </is>
      </c>
      <c r="F32" s="11" t="inlineStr">
        <is>
          <t>Comunicação</t>
        </is>
      </c>
      <c r="G32" s="11" t="inlineStr">
        <is>
          <t>Vanessa Souza</t>
        </is>
      </c>
      <c r="H32" s="9" t="inlineStr">
        <is>
          <t>CC602</t>
        </is>
      </c>
      <c r="I32" s="11" t="inlineStr">
        <is>
          <t>São Paulo</t>
        </is>
      </c>
      <c r="J32" s="9" t="inlineStr">
        <is>
          <t>SP</t>
        </is>
      </c>
      <c r="K32" s="11" t="inlineStr">
        <is>
          <t>Eventos Corporativos</t>
        </is>
      </c>
      <c r="L32" s="11" t="inlineStr">
        <is>
          <t>Aluguel de equipamento audiovisual para Live Anual</t>
        </is>
      </c>
      <c r="M32" s="12" t="n">
        <v>2300</v>
      </c>
      <c r="N32" s="11" t="inlineStr">
        <is>
          <t>Faturamento Direct</t>
        </is>
      </c>
      <c r="O32" s="9" t="inlineStr">
        <is>
          <t>Sim</t>
        </is>
      </c>
      <c r="P32" s="9" t="inlineStr">
        <is>
          <t>NF-50129</t>
        </is>
      </c>
      <c r="Q32" s="8" t="inlineStr">
        <is>
          <t>Aprovado</t>
        </is>
      </c>
      <c r="R32" s="10" t="n">
        <v>46077</v>
      </c>
      <c r="S32" s="11" t="inlineStr">
        <is>
          <t>Vanessa Souza</t>
        </is>
      </c>
      <c r="T32" s="11" t="inlineStr">
        <is>
          <t>Aprovado diretoria de comunicação</t>
        </is>
      </c>
    </row>
    <row r="33" ht="20" customHeight="1">
      <c r="A33" s="4" t="inlineStr">
        <is>
          <t>SOL-2026-029</t>
        </is>
      </c>
      <c r="B33" s="5" t="n">
        <v>46077</v>
      </c>
      <c r="C33" s="5" t="n">
        <v>46078</v>
      </c>
      <c r="D33" s="6" t="inlineStr">
        <is>
          <t>Carlos Eduardo Silva</t>
        </is>
      </c>
      <c r="E33" s="4" t="inlineStr">
        <is>
          <t>VP-1024</t>
        </is>
      </c>
      <c r="F33" s="6" t="inlineStr">
        <is>
          <t>Comercial</t>
        </is>
      </c>
      <c r="G33" s="6" t="inlineStr">
        <is>
          <t>Roberto Alves</t>
        </is>
      </c>
      <c r="H33" s="4" t="inlineStr">
        <is>
          <t>CC101</t>
        </is>
      </c>
      <c r="I33" s="6" t="inlineStr">
        <is>
          <t>Campinas</t>
        </is>
      </c>
      <c r="J33" s="4" t="inlineStr">
        <is>
          <t>SP</t>
        </is>
      </c>
      <c r="K33" s="6" t="inlineStr">
        <is>
          <t>Pedágio</t>
        </is>
      </c>
      <c r="L33" s="6" t="inlineStr">
        <is>
          <t>Visita comercial Unicamp / Polo tecnológico</t>
        </is>
      </c>
      <c r="M33" s="7" t="n">
        <v>38.5</v>
      </c>
      <c r="N33" s="6" t="inlineStr">
        <is>
          <t>Reembolso</t>
        </is>
      </c>
      <c r="O33" s="4" t="inlineStr">
        <is>
          <t>Sim</t>
        </is>
      </c>
      <c r="P33" s="4" t="inlineStr">
        <is>
          <t>NF-99201</t>
        </is>
      </c>
      <c r="Q33" s="8" t="inlineStr">
        <is>
          <t>Aprovado</t>
        </is>
      </c>
      <c r="R33" s="5" t="n">
        <v>46079</v>
      </c>
      <c r="S33" s="6" t="inlineStr">
        <is>
          <t>Roberto Alves</t>
        </is>
      </c>
      <c r="T33" s="6" t="inlineStr">
        <is>
          <t>Pedágio aprovado</t>
        </is>
      </c>
    </row>
    <row r="34" ht="20" customHeight="1">
      <c r="A34" s="9" t="inlineStr">
        <is>
          <t>SOL-2026-030</t>
        </is>
      </c>
      <c r="B34" s="10" t="n">
        <v>46078</v>
      </c>
      <c r="C34" s="10" t="n">
        <v>46079</v>
      </c>
      <c r="D34" s="11" t="inlineStr">
        <is>
          <t>Pedro Henrique</t>
        </is>
      </c>
      <c r="E34" s="9" t="inlineStr">
        <is>
          <t>VP-1350</t>
        </is>
      </c>
      <c r="F34" s="11" t="inlineStr">
        <is>
          <t>Financeiro</t>
        </is>
      </c>
      <c r="G34" s="11" t="inlineStr">
        <is>
          <t>Fernando Rocha</t>
        </is>
      </c>
      <c r="H34" s="9" t="inlineStr">
        <is>
          <t>CC301</t>
        </is>
      </c>
      <c r="I34" s="11" t="inlineStr">
        <is>
          <t>São Paulo</t>
        </is>
      </c>
      <c r="J34" s="9" t="inlineStr">
        <is>
          <t>SP</t>
        </is>
      </c>
      <c r="K34" s="11" t="inlineStr">
        <is>
          <t>Uber</t>
        </is>
      </c>
      <c r="L34" s="11" t="inlineStr">
        <is>
          <t>Uber reuniões externas de conciliação bancária</t>
        </is>
      </c>
      <c r="M34" s="12" t="n">
        <v>72</v>
      </c>
      <c r="N34" s="11" t="inlineStr">
        <is>
          <t>Reembolso</t>
        </is>
      </c>
      <c r="O34" s="9" t="inlineStr">
        <is>
          <t>Sim</t>
        </is>
      </c>
      <c r="P34" s="9" t="inlineStr">
        <is>
          <t>NF-12039</t>
        </is>
      </c>
      <c r="Q34" s="8" t="inlineStr">
        <is>
          <t>Aprovado</t>
        </is>
      </c>
      <c r="R34" s="10" t="n">
        <v>46080</v>
      </c>
      <c r="S34" s="11" t="inlineStr">
        <is>
          <t>Fernando Rocha</t>
        </is>
      </c>
      <c r="T34" s="11" t="inlineStr">
        <is>
          <t>Ok</t>
        </is>
      </c>
    </row>
    <row r="35" ht="20" customHeight="1">
      <c r="A35" s="4" t="inlineStr">
        <is>
          <t>SOL-2026-02-27</t>
        </is>
      </c>
      <c r="B35" s="5" t="n">
        <v>46080</v>
      </c>
      <c r="C35" s="5" t="n">
        <v>46081</v>
      </c>
      <c r="D35" s="6" t="inlineStr">
        <is>
          <t>Lucas Fernandes</t>
        </is>
      </c>
      <c r="E35" s="4" t="inlineStr">
        <is>
          <t>VP-1089</t>
        </is>
      </c>
      <c r="F35" s="6" t="inlineStr">
        <is>
          <t>Financeiro</t>
        </is>
      </c>
      <c r="G35" s="6" t="inlineStr">
        <is>
          <t>Fernando Rocha</t>
        </is>
      </c>
      <c r="H35" s="4" t="inlineStr">
        <is>
          <t>CC301</t>
        </is>
      </c>
      <c r="I35" s="6" t="inlineStr">
        <is>
          <t>São Paulo</t>
        </is>
      </c>
      <c r="J35" s="4" t="inlineStr">
        <is>
          <t>SP</t>
        </is>
      </c>
      <c r="K35" s="6" t="inlineStr">
        <is>
          <t>Alimentação</t>
        </is>
      </c>
      <c r="L35" s="6" t="inlineStr">
        <is>
          <t>Almoço com consultoria de auditoria externa</t>
        </is>
      </c>
      <c r="M35" s="7" t="n">
        <v>140</v>
      </c>
      <c r="N35" s="6" t="inlineStr">
        <is>
          <t>Reembolso</t>
        </is>
      </c>
      <c r="O35" s="4" t="inlineStr">
        <is>
          <t>Sim</t>
        </is>
      </c>
      <c r="P35" s="4" t="inlineStr">
        <is>
          <t>NF-88301</t>
        </is>
      </c>
      <c r="Q35" s="8" t="inlineStr">
        <is>
          <t>Aprovado</t>
        </is>
      </c>
      <c r="R35" s="5" t="n">
        <v>46082</v>
      </c>
      <c r="S35" s="6" t="inlineStr">
        <is>
          <t>Fernando Rocha</t>
        </is>
      </c>
      <c r="T35" s="6" t="inlineStr">
        <is>
          <t>Excesso justificado pelo número de pessoas</t>
        </is>
      </c>
    </row>
    <row r="36" ht="20" customHeight="1">
      <c r="A36" s="9" t="inlineStr">
        <is>
          <t>SOL-2026-032</t>
        </is>
      </c>
      <c r="B36" s="10" t="n">
        <v>46082</v>
      </c>
      <c r="C36" s="10" t="n">
        <v>46083</v>
      </c>
      <c r="D36" s="11" t="inlineStr">
        <is>
          <t>Mariana Costa</t>
        </is>
      </c>
      <c r="E36" s="9" t="inlineStr">
        <is>
          <t>VP-1105</t>
        </is>
      </c>
      <c r="F36" s="11" t="inlineStr">
        <is>
          <t>TI</t>
        </is>
      </c>
      <c r="G36" s="11" t="inlineStr">
        <is>
          <t>Beatriz Lima</t>
        </is>
      </c>
      <c r="H36" s="9" t="inlineStr">
        <is>
          <t>CC201</t>
        </is>
      </c>
      <c r="I36" s="11" t="inlineStr">
        <is>
          <t>São Paulo</t>
        </is>
      </c>
      <c r="J36" s="9" t="inlineStr">
        <is>
          <t>SP</t>
        </is>
      </c>
      <c r="K36" s="11" t="inlineStr">
        <is>
          <t>Cursos</t>
        </is>
      </c>
      <c r="L36" s="11" t="inlineStr">
        <is>
          <t>Curso avançado de Segurança da Informação</t>
        </is>
      </c>
      <c r="M36" s="12" t="n">
        <v>1800</v>
      </c>
      <c r="N36" s="11" t="inlineStr">
        <is>
          <t>Cartão Corporativo</t>
        </is>
      </c>
      <c r="O36" s="9" t="inlineStr">
        <is>
          <t>Sim</t>
        </is>
      </c>
      <c r="P36" s="9" t="inlineStr">
        <is>
          <t>NF-33210</t>
        </is>
      </c>
      <c r="Q36" s="8" t="inlineStr">
        <is>
          <t>Aprovado</t>
        </is>
      </c>
      <c r="R36" s="10" t="n">
        <v>46084</v>
      </c>
      <c r="S36" s="11" t="inlineStr">
        <is>
          <t>Beatriz Lima</t>
        </is>
      </c>
      <c r="T36" s="11" t="inlineStr">
        <is>
          <t>Capacitação aprovada no plano anual</t>
        </is>
      </c>
    </row>
    <row r="37" ht="20" customHeight="1">
      <c r="A37" s="4" t="inlineStr">
        <is>
          <t>SOL-2026-033</t>
        </is>
      </c>
      <c r="B37" s="5" t="n">
        <v>46084</v>
      </c>
      <c r="C37" s="5" t="n">
        <v>46085</v>
      </c>
      <c r="D37" s="6" t="inlineStr">
        <is>
          <t>Camila Rocha</t>
        </is>
      </c>
      <c r="E37" s="4" t="inlineStr">
        <is>
          <t>VP-1142</t>
        </is>
      </c>
      <c r="F37" s="6" t="inlineStr">
        <is>
          <t>RH</t>
        </is>
      </c>
      <c r="G37" s="6" t="inlineStr">
        <is>
          <t>Patricia Mendes</t>
        </is>
      </c>
      <c r="H37" s="4" t="inlineStr">
        <is>
          <t>CC401</t>
        </is>
      </c>
      <c r="I37" s="6" t="inlineStr">
        <is>
          <t>São Paulo</t>
        </is>
      </c>
      <c r="J37" s="4" t="inlineStr">
        <is>
          <t>SP</t>
        </is>
      </c>
      <c r="K37" s="6" t="inlineStr">
        <is>
          <t>Material de Escritório</t>
        </is>
      </c>
      <c r="L37" s="6" t="inlineStr">
        <is>
          <t>Suprimentos para treinamento de integração</t>
        </is>
      </c>
      <c r="M37" s="7" t="n">
        <v>215</v>
      </c>
      <c r="N37" s="6" t="inlineStr">
        <is>
          <t>Reembolso</t>
        </is>
      </c>
      <c r="O37" s="4" t="inlineStr">
        <is>
          <t>Sim</t>
        </is>
      </c>
      <c r="P37" s="4" t="inlineStr">
        <is>
          <t>NF-44012</t>
        </is>
      </c>
      <c r="Q37" s="8" t="inlineStr">
        <is>
          <t>Aprovado</t>
        </is>
      </c>
      <c r="R37" s="5" t="n">
        <v>46086</v>
      </c>
      <c r="S37" s="6" t="inlineStr">
        <is>
          <t>Patricia Mendes</t>
        </is>
      </c>
      <c r="T37" s="6" t="inlineStr">
        <is>
          <t>Nota fiscal conferida</t>
        </is>
      </c>
    </row>
    <row r="38" ht="20" customHeight="1">
      <c r="A38" s="9" t="inlineStr">
        <is>
          <t>SOL-2026-034</t>
        </is>
      </c>
      <c r="B38" s="10" t="n">
        <v>46086</v>
      </c>
      <c r="C38" s="10" t="n">
        <v>46087</v>
      </c>
      <c r="D38" s="11" t="inlineStr">
        <is>
          <t>Felipe Santos</t>
        </is>
      </c>
      <c r="E38" s="9" t="inlineStr">
        <is>
          <t>VP-1230</t>
        </is>
      </c>
      <c r="F38" s="11" t="inlineStr">
        <is>
          <t>Comercial</t>
        </is>
      </c>
      <c r="G38" s="11" t="inlineStr">
        <is>
          <t>Roberto Alves</t>
        </is>
      </c>
      <c r="H38" s="9" t="inlineStr">
        <is>
          <t>CC102</t>
        </is>
      </c>
      <c r="I38" s="11" t="inlineStr">
        <is>
          <t>Goiânia</t>
        </is>
      </c>
      <c r="J38" s="9" t="inlineStr">
        <is>
          <t>GO</t>
        </is>
      </c>
      <c r="K38" s="11" t="inlineStr">
        <is>
          <t>Passagem Aérea</t>
        </is>
      </c>
      <c r="L38" s="11" t="inlineStr">
        <is>
          <t>Passagem aérea prospecção Centro-Oeste</t>
        </is>
      </c>
      <c r="M38" s="12" t="n">
        <v>1150</v>
      </c>
      <c r="N38" s="11" t="inlineStr">
        <is>
          <t>Faturamento Direct</t>
        </is>
      </c>
      <c r="O38" s="9" t="inlineStr">
        <is>
          <t>Sim</t>
        </is>
      </c>
      <c r="P38" s="9" t="inlineStr">
        <is>
          <t>NF-99301</t>
        </is>
      </c>
      <c r="Q38" s="8" t="inlineStr">
        <is>
          <t>Aprovado</t>
        </is>
      </c>
      <c r="R38" s="10" t="n">
        <v>46088</v>
      </c>
      <c r="S38" s="11" t="inlineStr">
        <is>
          <t>Roberto Alves</t>
        </is>
      </c>
      <c r="T38" s="11" t="inlineStr">
        <is>
          <t>Aprovado conforme fluxo</t>
        </is>
      </c>
    </row>
    <row r="39" ht="20" customHeight="1">
      <c r="A39" s="4" t="inlineStr">
        <is>
          <t>SOL-2026-035</t>
        </is>
      </c>
      <c r="B39" s="5" t="n">
        <v>46087</v>
      </c>
      <c r="C39" s="5" t="n">
        <v>46088</v>
      </c>
      <c r="D39" s="6" t="inlineStr">
        <is>
          <t>Rafael Almeida</t>
        </is>
      </c>
      <c r="E39" s="4" t="inlineStr">
        <is>
          <t>VP-1201</t>
        </is>
      </c>
      <c r="F39" s="6" t="inlineStr">
        <is>
          <t>Compliance</t>
        </is>
      </c>
      <c r="G39" s="6" t="inlineStr">
        <is>
          <t>Gustavo Carvalho</t>
        </is>
      </c>
      <c r="H39" s="4" t="inlineStr">
        <is>
          <t>CC501</t>
        </is>
      </c>
      <c r="I39" s="6" t="inlineStr">
        <is>
          <t>São Paulo</t>
        </is>
      </c>
      <c r="J39" s="4" t="inlineStr">
        <is>
          <t>SP</t>
        </is>
      </c>
      <c r="K39" s="6" t="inlineStr">
        <is>
          <t>Táxi</t>
        </is>
      </c>
      <c r="L39" s="6" t="inlineStr">
        <is>
          <t>Deslocamento ao Fórum Trabalhista</t>
        </is>
      </c>
      <c r="M39" s="7" t="n">
        <v>55</v>
      </c>
      <c r="N39" s="6" t="inlineStr">
        <is>
          <t>Reembolso</t>
        </is>
      </c>
      <c r="O39" s="4" t="inlineStr">
        <is>
          <t>Sim</t>
        </is>
      </c>
      <c r="P39" s="4" t="inlineStr">
        <is>
          <t>NF-22310</t>
        </is>
      </c>
      <c r="Q39" s="8" t="inlineStr">
        <is>
          <t>Aprovado</t>
        </is>
      </c>
      <c r="R39" s="5" t="n">
        <v>46089</v>
      </c>
      <c r="S39" s="6" t="inlineStr">
        <is>
          <t>Gustavo Carvalho</t>
        </is>
      </c>
      <c r="T39" s="6" t="inlineStr">
        <is>
          <t>Ok</t>
        </is>
      </c>
    </row>
    <row r="40" ht="20" customHeight="1">
      <c r="A40" s="9" t="inlineStr">
        <is>
          <t>SOL-2026-036</t>
        </is>
      </c>
      <c r="B40" s="10" t="n">
        <v>46089</v>
      </c>
      <c r="C40" s="10" t="n">
        <v>46090</v>
      </c>
      <c r="D40" s="11" t="inlineStr">
        <is>
          <t>Juliana Martins</t>
        </is>
      </c>
      <c r="E40" s="9" t="inlineStr">
        <is>
          <t>VP-1055</t>
        </is>
      </c>
      <c r="F40" s="11" t="inlineStr">
        <is>
          <t>Comunicação</t>
        </is>
      </c>
      <c r="G40" s="11" t="inlineStr">
        <is>
          <t>Vanessa Souza</t>
        </is>
      </c>
      <c r="H40" s="9" t="inlineStr">
        <is>
          <t>CC601</t>
        </is>
      </c>
      <c r="I40" s="11" t="inlineStr">
        <is>
          <t>São Paulo</t>
        </is>
      </c>
      <c r="J40" s="9" t="inlineStr">
        <is>
          <t>SP</t>
        </is>
      </c>
      <c r="K40" s="11" t="inlineStr">
        <is>
          <t>Uber</t>
        </is>
      </c>
      <c r="L40" s="11" t="inlineStr">
        <is>
          <t>Uber para retirada de brindes corporativos</t>
        </is>
      </c>
      <c r="M40" s="12" t="n">
        <v>45</v>
      </c>
      <c r="N40" s="11" t="inlineStr">
        <is>
          <t>Reembolso</t>
        </is>
      </c>
      <c r="O40" s="9" t="inlineStr">
        <is>
          <t>Sim</t>
        </is>
      </c>
      <c r="P40" s="9" t="inlineStr">
        <is>
          <t>NF-77102</t>
        </is>
      </c>
      <c r="Q40" s="14" t="inlineStr">
        <is>
          <t>Pendente</t>
        </is>
      </c>
      <c r="R40" s="11" t="inlineStr">
        <is>
          <t>-</t>
        </is>
      </c>
      <c r="S40" s="11" t="inlineStr">
        <is>
          <t>-</t>
        </is>
      </c>
      <c r="T40" s="11" t="inlineStr">
        <is>
          <t>Aguardando aprovação da gestão</t>
        </is>
      </c>
    </row>
    <row r="41" ht="20" customHeight="1">
      <c r="A41" s="4" t="inlineStr">
        <is>
          <t>SOL-2026-037</t>
        </is>
      </c>
      <c r="B41" s="5" t="n">
        <v>46091</v>
      </c>
      <c r="C41" s="5" t="n">
        <v>46092</v>
      </c>
      <c r="D41" s="6" t="inlineStr">
        <is>
          <t>Thiago Oliveira</t>
        </is>
      </c>
      <c r="E41" s="4" t="inlineStr">
        <is>
          <t>VP-1288</t>
        </is>
      </c>
      <c r="F41" s="6" t="inlineStr">
        <is>
          <t>Financeiro</t>
        </is>
      </c>
      <c r="G41" s="6" t="inlineStr">
        <is>
          <t>Fernando Rocha</t>
        </is>
      </c>
      <c r="H41" s="4" t="inlineStr">
        <is>
          <t>CC302</t>
        </is>
      </c>
      <c r="I41" s="6" t="inlineStr">
        <is>
          <t>São Paulo</t>
        </is>
      </c>
      <c r="J41" s="4" t="inlineStr">
        <is>
          <t>SP</t>
        </is>
      </c>
      <c r="K41" s="6" t="inlineStr">
        <is>
          <t>Alimentação</t>
        </is>
      </c>
      <c r="L41" s="6" t="inlineStr">
        <is>
          <t>Refeição em dia de fechamento contábil</t>
        </is>
      </c>
      <c r="M41" s="7" t="n">
        <v>65</v>
      </c>
      <c r="N41" s="6" t="inlineStr">
        <is>
          <t>Reembolso</t>
        </is>
      </c>
      <c r="O41" s="4" t="inlineStr">
        <is>
          <t>Sim</t>
        </is>
      </c>
      <c r="P41" s="4" t="inlineStr">
        <is>
          <t>NF-88219</t>
        </is>
      </c>
      <c r="Q41" s="14" t="inlineStr">
        <is>
          <t>Pendente</t>
        </is>
      </c>
      <c r="R41" s="6" t="inlineStr">
        <is>
          <t>-</t>
        </is>
      </c>
      <c r="S41" s="6" t="inlineStr">
        <is>
          <t>-</t>
        </is>
      </c>
      <c r="T41" s="6" t="inlineStr">
        <is>
          <t>Aguardando aprovação da gestão</t>
        </is>
      </c>
    </row>
    <row r="42" ht="20" customHeight="1">
      <c r="A42" s="9" t="inlineStr">
        <is>
          <t>SOL-2026-038</t>
        </is>
      </c>
      <c r="B42" s="10" t="n">
        <v>46092</v>
      </c>
      <c r="C42" s="10" t="n">
        <v>46093</v>
      </c>
      <c r="D42" s="11" t="inlineStr">
        <is>
          <t>Amanda Ribeiro</t>
        </is>
      </c>
      <c r="E42" s="9" t="inlineStr">
        <is>
          <t>VP-1190</t>
        </is>
      </c>
      <c r="F42" s="11" t="inlineStr">
        <is>
          <t>RH</t>
        </is>
      </c>
      <c r="G42" s="11" t="inlineStr">
        <is>
          <t>Patricia Mendes</t>
        </is>
      </c>
      <c r="H42" s="9" t="inlineStr">
        <is>
          <t>CC402</t>
        </is>
      </c>
      <c r="I42" s="11" t="inlineStr">
        <is>
          <t>São Paulo</t>
        </is>
      </c>
      <c r="J42" s="9" t="inlineStr">
        <is>
          <t>SP</t>
        </is>
      </c>
      <c r="K42" s="11" t="inlineStr">
        <is>
          <t>Estacionamento</t>
        </is>
      </c>
      <c r="L42" s="11" t="inlineStr">
        <is>
          <t>Estacionamento evento de recrutamento em faculdade</t>
        </is>
      </c>
      <c r="M42" s="12" t="n">
        <v>45</v>
      </c>
      <c r="N42" s="11" t="inlineStr">
        <is>
          <t>Reembolso</t>
        </is>
      </c>
      <c r="O42" s="9" t="inlineStr">
        <is>
          <t>Sim</t>
        </is>
      </c>
      <c r="P42" s="9" t="inlineStr">
        <is>
          <t>NF-33102</t>
        </is>
      </c>
      <c r="Q42" s="14" t="inlineStr">
        <is>
          <t>Pendente</t>
        </is>
      </c>
      <c r="R42" s="11" t="inlineStr">
        <is>
          <t>-</t>
        </is>
      </c>
      <c r="S42" s="11" t="inlineStr">
        <is>
          <t>-</t>
        </is>
      </c>
      <c r="T42" s="11" t="inlineStr">
        <is>
          <t>Aguardando aprovação da gestão</t>
        </is>
      </c>
    </row>
    <row r="43" ht="20" customHeight="1">
      <c r="A43" s="4" t="inlineStr">
        <is>
          <t>SOL-2026-039</t>
        </is>
      </c>
      <c r="B43" s="5" t="n">
        <v>46093</v>
      </c>
      <c r="C43" s="5" t="n">
        <v>46094</v>
      </c>
      <c r="D43" s="6" t="inlineStr">
        <is>
          <t>Rodrigo Nogueira</t>
        </is>
      </c>
      <c r="E43" s="4" t="inlineStr">
        <is>
          <t>VP-1310</t>
        </is>
      </c>
      <c r="F43" s="6" t="inlineStr">
        <is>
          <t>Comercial</t>
        </is>
      </c>
      <c r="G43" s="6" t="inlineStr">
        <is>
          <t>Roberto Alves</t>
        </is>
      </c>
      <c r="H43" s="4" t="inlineStr">
        <is>
          <t>CC101</t>
        </is>
      </c>
      <c r="I43" s="6" t="inlineStr">
        <is>
          <t>Florianópolis</t>
        </is>
      </c>
      <c r="J43" s="4" t="inlineStr">
        <is>
          <t>SC</t>
        </is>
      </c>
      <c r="K43" s="6" t="inlineStr">
        <is>
          <t>Hospedagem</t>
        </is>
      </c>
      <c r="L43" s="6" t="inlineStr">
        <is>
          <t>Hospedagem negociação cliente do Sul</t>
        </is>
      </c>
      <c r="M43" s="7" t="n">
        <v>540</v>
      </c>
      <c r="N43" s="6" t="inlineStr">
        <is>
          <t>Cartão Corporativo</t>
        </is>
      </c>
      <c r="O43" s="4" t="inlineStr">
        <is>
          <t>Sim</t>
        </is>
      </c>
      <c r="P43" s="4" t="inlineStr">
        <is>
          <t>NF-11209</t>
        </is>
      </c>
      <c r="Q43" s="14" t="inlineStr">
        <is>
          <t>Pendente</t>
        </is>
      </c>
      <c r="R43" s="6" t="inlineStr">
        <is>
          <t>-</t>
        </is>
      </c>
      <c r="S43" s="6" t="inlineStr">
        <is>
          <t>-</t>
        </is>
      </c>
      <c r="T43" s="6" t="inlineStr">
        <is>
          <t>Solicitado aprovação de valor acima da tabela</t>
        </is>
      </c>
    </row>
    <row r="44" ht="20" customHeight="1">
      <c r="A44" s="9" t="inlineStr">
        <is>
          <t>SOL-2026-040</t>
        </is>
      </c>
      <c r="B44" s="10" t="n">
        <v>46095</v>
      </c>
      <c r="C44" s="10" t="n">
        <v>46096</v>
      </c>
      <c r="D44" s="11" t="inlineStr">
        <is>
          <t>Gabriela Dias</t>
        </is>
      </c>
      <c r="E44" s="9" t="inlineStr">
        <is>
          <t>VP-1255</t>
        </is>
      </c>
      <c r="F44" s="11" t="inlineStr">
        <is>
          <t>TI</t>
        </is>
      </c>
      <c r="G44" s="11" t="inlineStr">
        <is>
          <t>Beatriz Lima</t>
        </is>
      </c>
      <c r="H44" s="9" t="inlineStr">
        <is>
          <t>CC202</t>
        </is>
      </c>
      <c r="I44" s="11" t="inlineStr">
        <is>
          <t>São Paulo</t>
        </is>
      </c>
      <c r="J44" s="9" t="inlineStr">
        <is>
          <t>SP</t>
        </is>
      </c>
      <c r="K44" s="11" t="inlineStr">
        <is>
          <t>Uber</t>
        </is>
      </c>
      <c r="L44" s="11" t="inlineStr">
        <is>
          <t>Uber retorno pós-incidente em produção</t>
        </is>
      </c>
      <c r="M44" s="12" t="n">
        <v>88</v>
      </c>
      <c r="N44" s="11" t="inlineStr">
        <is>
          <t>Reembolso</t>
        </is>
      </c>
      <c r="O44" s="9" t="inlineStr">
        <is>
          <t>Sim</t>
        </is>
      </c>
      <c r="P44" s="9" t="inlineStr">
        <is>
          <t>NF-90123</t>
        </is>
      </c>
      <c r="Q44" s="8" t="inlineStr">
        <is>
          <t>Aprovado</t>
        </is>
      </c>
      <c r="R44" s="10" t="n">
        <v>46097</v>
      </c>
      <c r="S44" s="11" t="inlineStr">
        <is>
          <t>Beatriz Lima</t>
        </is>
      </c>
      <c r="T44" s="11" t="inlineStr">
        <is>
          <t>Atendimento emergencial noturno</t>
        </is>
      </c>
    </row>
    <row r="45" ht="20" customHeight="1">
      <c r="A45" s="4" t="inlineStr">
        <is>
          <t>SOL-2026-041</t>
        </is>
      </c>
      <c r="B45" s="5" t="n">
        <v>46096</v>
      </c>
      <c r="C45" s="5" t="n">
        <v>46097</v>
      </c>
      <c r="D45" s="6" t="inlineStr">
        <is>
          <t>Marcelo Souza</t>
        </is>
      </c>
      <c r="E45" s="4" t="inlineStr">
        <is>
          <t>VP-1177</t>
        </is>
      </c>
      <c r="F45" s="6" t="inlineStr">
        <is>
          <t>Compliance</t>
        </is>
      </c>
      <c r="G45" s="6" t="inlineStr">
        <is>
          <t>Gustavo Carvalho</t>
        </is>
      </c>
      <c r="H45" s="4" t="inlineStr">
        <is>
          <t>CC501</t>
        </is>
      </c>
      <c r="I45" s="6" t="inlineStr">
        <is>
          <t>São Paulo</t>
        </is>
      </c>
      <c r="J45" s="4" t="inlineStr">
        <is>
          <t>SP</t>
        </is>
      </c>
      <c r="K45" s="6" t="inlineStr">
        <is>
          <t>Alimentação</t>
        </is>
      </c>
      <c r="L45" s="6" t="inlineStr">
        <is>
          <t>Almoço trabalho análise de riscos</t>
        </is>
      </c>
      <c r="M45" s="7" t="n">
        <v>110</v>
      </c>
      <c r="N45" s="6" t="inlineStr">
        <is>
          <t>Reembolso</t>
        </is>
      </c>
      <c r="O45" s="4" t="inlineStr">
        <is>
          <t>Sim</t>
        </is>
      </c>
      <c r="P45" s="4" t="inlineStr">
        <is>
          <t>NF-44102</t>
        </is>
      </c>
      <c r="Q45" s="8" t="inlineStr">
        <is>
          <t>Aprovado</t>
        </is>
      </c>
      <c r="R45" s="5" t="n">
        <v>46098</v>
      </c>
      <c r="S45" s="6" t="inlineStr">
        <is>
          <t>Gustavo Carvalho</t>
        </is>
      </c>
      <c r="T45" s="6" t="inlineStr">
        <is>
          <t>Dentro da verba</t>
        </is>
      </c>
    </row>
    <row r="46" ht="20" customHeight="1">
      <c r="A46" s="9" t="inlineStr">
        <is>
          <t>SOL-2026-042</t>
        </is>
      </c>
      <c r="B46" s="10" t="n">
        <v>46097</v>
      </c>
      <c r="C46" s="10" t="n">
        <v>46098</v>
      </c>
      <c r="D46" s="11" t="inlineStr">
        <is>
          <t>Fernanda Lima</t>
        </is>
      </c>
      <c r="E46" s="9" t="inlineStr">
        <is>
          <t>VP-1040</t>
        </is>
      </c>
      <c r="F46" s="11" t="inlineStr">
        <is>
          <t>Comunicação</t>
        </is>
      </c>
      <c r="G46" s="11" t="inlineStr">
        <is>
          <t>Vanessa Souza</t>
        </is>
      </c>
      <c r="H46" s="9" t="inlineStr">
        <is>
          <t>CC601</t>
        </is>
      </c>
      <c r="I46" s="11" t="inlineStr">
        <is>
          <t>São Paulo</t>
        </is>
      </c>
      <c r="J46" s="9" t="inlineStr">
        <is>
          <t>SP</t>
        </is>
      </c>
      <c r="K46" s="11" t="inlineStr">
        <is>
          <t>Material de Escritório</t>
        </is>
      </c>
      <c r="L46" s="11" t="inlineStr">
        <is>
          <t>Impressão de banners para endomarketing</t>
        </is>
      </c>
      <c r="M46" s="12" t="n">
        <v>450</v>
      </c>
      <c r="N46" s="11" t="inlineStr">
        <is>
          <t>Reembolso</t>
        </is>
      </c>
      <c r="O46" s="9" t="inlineStr">
        <is>
          <t>Sim</t>
        </is>
      </c>
      <c r="P46" s="9" t="inlineStr">
        <is>
          <t>NF-66712</t>
        </is>
      </c>
      <c r="Q46" s="14" t="inlineStr">
        <is>
          <t>Pendente</t>
        </is>
      </c>
      <c r="R46" s="11" t="inlineStr">
        <is>
          <t>-</t>
        </is>
      </c>
      <c r="S46" s="11" t="inlineStr">
        <is>
          <t>-</t>
        </is>
      </c>
      <c r="T46" s="11" t="inlineStr">
        <is>
          <t>Aguardando nota fiscal física</t>
        </is>
      </c>
    </row>
    <row r="47" ht="20" customHeight="1">
      <c r="A47" s="4" t="inlineStr">
        <is>
          <t>SOL-2026-043</t>
        </is>
      </c>
      <c r="B47" s="5" t="n">
        <v>46099</v>
      </c>
      <c r="C47" s="5" t="n">
        <v>46099</v>
      </c>
      <c r="D47" s="6" t="inlineStr">
        <is>
          <t>Carlos Eduardo Silva</t>
        </is>
      </c>
      <c r="E47" s="4" t="inlineStr">
        <is>
          <t>VP-1024</t>
        </is>
      </c>
      <c r="F47" s="6" t="inlineStr">
        <is>
          <t>Comercial</t>
        </is>
      </c>
      <c r="G47" s="6" t="inlineStr">
        <is>
          <t>Roberto Alves</t>
        </is>
      </c>
      <c r="H47" s="4" t="inlineStr">
        <is>
          <t>CC101</t>
        </is>
      </c>
      <c r="I47" s="6" t="inlineStr">
        <is>
          <t>Santos</t>
        </is>
      </c>
      <c r="J47" s="4" t="inlineStr">
        <is>
          <t>SP</t>
        </is>
      </c>
      <c r="K47" s="6" t="inlineStr">
        <is>
          <t>Combustível</t>
        </is>
      </c>
      <c r="L47" s="6" t="inlineStr">
        <is>
          <t>Visita ao porto / exportação cliente Santos</t>
        </is>
      </c>
      <c r="M47" s="7" t="n">
        <v>210</v>
      </c>
      <c r="N47" s="6" t="inlineStr">
        <is>
          <t>Reembolso</t>
        </is>
      </c>
      <c r="O47" s="4" t="inlineStr">
        <is>
          <t>Sim</t>
        </is>
      </c>
      <c r="P47" s="4" t="inlineStr">
        <is>
          <t>NF-88123</t>
        </is>
      </c>
      <c r="Q47" s="14" t="inlineStr">
        <is>
          <t>Pendente</t>
        </is>
      </c>
      <c r="R47" s="6" t="inlineStr">
        <is>
          <t>-</t>
        </is>
      </c>
      <c r="S47" s="6" t="inlineStr">
        <is>
          <t>-</t>
        </is>
      </c>
      <c r="T47" s="6" t="inlineStr">
        <is>
          <t>Aguardando validação do relatório de viagem</t>
        </is>
      </c>
    </row>
    <row r="48" ht="20" customHeight="1">
      <c r="A48" s="9" t="inlineStr">
        <is>
          <t>SOL-2026-044</t>
        </is>
      </c>
      <c r="B48" s="10" t="n">
        <v>46100</v>
      </c>
      <c r="C48" s="10" t="n">
        <v>46100</v>
      </c>
      <c r="D48" s="11" t="inlineStr">
        <is>
          <t>Pedro Henrique</t>
        </is>
      </c>
      <c r="E48" s="9" t="inlineStr">
        <is>
          <t>VP-1350</t>
        </is>
      </c>
      <c r="F48" s="11" t="inlineStr">
        <is>
          <t>Financeiro</t>
        </is>
      </c>
      <c r="G48" s="11" t="inlineStr">
        <is>
          <t>Fernando Rocha</t>
        </is>
      </c>
      <c r="H48" s="9" t="inlineStr">
        <is>
          <t>CC301</t>
        </is>
      </c>
      <c r="I48" s="11" t="inlineStr">
        <is>
          <t>São Paulo</t>
        </is>
      </c>
      <c r="J48" s="9" t="inlineStr">
        <is>
          <t>SP</t>
        </is>
      </c>
      <c r="K48" s="11" t="inlineStr">
        <is>
          <t>Táxi</t>
        </is>
      </c>
      <c r="L48" s="11" t="inlineStr">
        <is>
          <t>Deslocamento até cartório central</t>
        </is>
      </c>
      <c r="M48" s="12" t="n">
        <v>40</v>
      </c>
      <c r="N48" s="11" t="inlineStr">
        <is>
          <t>Reembolso</t>
        </is>
      </c>
      <c r="O48" s="9" t="inlineStr">
        <is>
          <t>Sim</t>
        </is>
      </c>
      <c r="P48" s="9" t="inlineStr">
        <is>
          <t>NF-22901</t>
        </is>
      </c>
      <c r="Q48" s="8" t="inlineStr">
        <is>
          <t>Aprovado</t>
        </is>
      </c>
      <c r="R48" s="10" t="n">
        <v>46101</v>
      </c>
      <c r="S48" s="11" t="inlineStr">
        <is>
          <t>Fernando Rocha</t>
        </is>
      </c>
      <c r="T48" s="11" t="inlineStr">
        <is>
          <t>Aprovado</t>
        </is>
      </c>
    </row>
    <row r="49" ht="20" customHeight="1">
      <c r="A49" s="4" t="inlineStr">
        <is>
          <t>SOL-2026-045</t>
        </is>
      </c>
      <c r="B49" s="5" t="n">
        <v>46101</v>
      </c>
      <c r="C49" s="5" t="n">
        <v>46101</v>
      </c>
      <c r="D49" s="6" t="inlineStr">
        <is>
          <t>Lucas Fernandes</t>
        </is>
      </c>
      <c r="E49" s="4" t="inlineStr">
        <is>
          <t>VP-1089</t>
        </is>
      </c>
      <c r="F49" s="6" t="inlineStr">
        <is>
          <t>Financeiro</t>
        </is>
      </c>
      <c r="G49" s="6" t="inlineStr">
        <is>
          <t>Fernando Rocha</t>
        </is>
      </c>
      <c r="H49" s="4" t="inlineStr">
        <is>
          <t>CC301</t>
        </is>
      </c>
      <c r="I49" s="6" t="inlineStr">
        <is>
          <t>São Paulo</t>
        </is>
      </c>
      <c r="J49" s="4" t="inlineStr">
        <is>
          <t>SP</t>
        </is>
      </c>
      <c r="K49" s="6" t="inlineStr">
        <is>
          <t>Uber</t>
        </is>
      </c>
      <c r="L49" s="6" t="inlineStr">
        <is>
          <t>Uber reunião externa conselho fiscal</t>
        </is>
      </c>
      <c r="M49" s="7" t="n">
        <v>64.5</v>
      </c>
      <c r="N49" s="6" t="inlineStr">
        <is>
          <t>Reembolso</t>
        </is>
      </c>
      <c r="O49" s="4" t="inlineStr">
        <is>
          <t>Sim</t>
        </is>
      </c>
      <c r="P49" s="4" t="inlineStr">
        <is>
          <t>NF-55120</t>
        </is>
      </c>
      <c r="Q49" s="14" t="inlineStr">
        <is>
          <t>Pendente</t>
        </is>
      </c>
      <c r="R49" s="6" t="inlineStr">
        <is>
          <t>-</t>
        </is>
      </c>
      <c r="S49" s="6" t="inlineStr">
        <is>
          <t>-</t>
        </is>
      </c>
      <c r="T49" s="6" t="inlineStr">
        <is>
          <t>Em análise de conformidade</t>
        </is>
      </c>
    </row>
    <row r="50" ht="20" customHeight="1">
      <c r="A50" s="9" t="inlineStr">
        <is>
          <t>SOL-2026-046</t>
        </is>
      </c>
      <c r="B50" s="10" t="n">
        <v>46102</v>
      </c>
      <c r="C50" s="10" t="n">
        <v>46102</v>
      </c>
      <c r="D50" s="11" t="inlineStr">
        <is>
          <t>Mariana Costa</t>
        </is>
      </c>
      <c r="E50" s="9" t="inlineStr">
        <is>
          <t>VP-1105</t>
        </is>
      </c>
      <c r="F50" s="11" t="inlineStr">
        <is>
          <t>TI</t>
        </is>
      </c>
      <c r="G50" s="11" t="inlineStr">
        <is>
          <t>Beatriz Lima</t>
        </is>
      </c>
      <c r="H50" s="9" t="inlineStr">
        <is>
          <t>CC201</t>
        </is>
      </c>
      <c r="I50" s="11" t="inlineStr">
        <is>
          <t>São Paulo</t>
        </is>
      </c>
      <c r="J50" s="9" t="inlineStr">
        <is>
          <t>SP</t>
        </is>
      </c>
      <c r="K50" s="11" t="inlineStr">
        <is>
          <t>Alimentação</t>
        </is>
      </c>
      <c r="L50" s="11" t="inlineStr">
        <is>
          <t>Lanche de plantão de suporte</t>
        </is>
      </c>
      <c r="M50" s="12" t="n">
        <v>58</v>
      </c>
      <c r="N50" s="11" t="inlineStr">
        <is>
          <t>Reembolso</t>
        </is>
      </c>
      <c r="O50" s="9" t="inlineStr">
        <is>
          <t>Sim</t>
        </is>
      </c>
      <c r="P50" s="9" t="inlineStr">
        <is>
          <t>NF-77301</t>
        </is>
      </c>
      <c r="Q50" s="8" t="inlineStr">
        <is>
          <t>Aprovado</t>
        </is>
      </c>
      <c r="R50" s="10" t="n">
        <v>46103</v>
      </c>
      <c r="S50" s="11" t="inlineStr">
        <is>
          <t>Beatriz Lima</t>
        </is>
      </c>
      <c r="T50" s="11" t="inlineStr">
        <is>
          <t>Aprovado</t>
        </is>
      </c>
    </row>
    <row r="51" ht="20" customHeight="1">
      <c r="A51" s="4" t="inlineStr">
        <is>
          <t>SOL-2026-047</t>
        </is>
      </c>
      <c r="B51" s="5" t="n">
        <v>46103</v>
      </c>
      <c r="C51" s="5" t="n">
        <v>46103</v>
      </c>
      <c r="D51" s="6" t="inlineStr">
        <is>
          <t>Camila Rocha</t>
        </is>
      </c>
      <c r="E51" s="4" t="inlineStr">
        <is>
          <t>VP-1142</t>
        </is>
      </c>
      <c r="F51" s="6" t="inlineStr">
        <is>
          <t>RH</t>
        </is>
      </c>
      <c r="G51" s="6" t="inlineStr">
        <is>
          <t>Patricia Mendes</t>
        </is>
      </c>
      <c r="H51" s="4" t="inlineStr">
        <is>
          <t>CC401</t>
        </is>
      </c>
      <c r="I51" s="6" t="inlineStr">
        <is>
          <t>São Paulo</t>
        </is>
      </c>
      <c r="J51" s="4" t="inlineStr">
        <is>
          <t>SP</t>
        </is>
      </c>
      <c r="K51" s="6" t="inlineStr">
        <is>
          <t>Uber</t>
        </is>
      </c>
      <c r="L51" s="6" t="inlineStr">
        <is>
          <t>Uber transporte de palestrante convidado</t>
        </is>
      </c>
      <c r="M51" s="7" t="n">
        <v>92</v>
      </c>
      <c r="N51" s="6" t="inlineStr">
        <is>
          <t>Reembolso</t>
        </is>
      </c>
      <c r="O51" s="4" t="inlineStr">
        <is>
          <t>Sim</t>
        </is>
      </c>
      <c r="P51" s="4" t="inlineStr">
        <is>
          <t>NF-99120</t>
        </is>
      </c>
      <c r="Q51" s="14" t="inlineStr">
        <is>
          <t>Pendente</t>
        </is>
      </c>
      <c r="R51" s="6" t="inlineStr">
        <is>
          <t>-</t>
        </is>
      </c>
      <c r="S51" s="6" t="inlineStr">
        <is>
          <t>-</t>
        </is>
      </c>
      <c r="T51" s="6" t="inlineStr">
        <is>
          <t>Aguardando dados do palestrante no sistema</t>
        </is>
      </c>
    </row>
    <row r="52" ht="20" customHeight="1">
      <c r="A52" s="9" t="inlineStr">
        <is>
          <t>SOL-2026-048</t>
        </is>
      </c>
      <c r="B52" s="10" t="n">
        <v>46104</v>
      </c>
      <c r="C52" s="10" t="n">
        <v>46104</v>
      </c>
      <c r="D52" s="11" t="inlineStr">
        <is>
          <t>Felipe Santos</t>
        </is>
      </c>
      <c r="E52" s="9" t="inlineStr">
        <is>
          <t>VP-1230</t>
        </is>
      </c>
      <c r="F52" s="11" t="inlineStr">
        <is>
          <t>Comercial</t>
        </is>
      </c>
      <c r="G52" s="11" t="inlineStr">
        <is>
          <t>Roberto Alves</t>
        </is>
      </c>
      <c r="H52" s="9" t="inlineStr">
        <is>
          <t>CC102</t>
        </is>
      </c>
      <c r="I52" s="11" t="inlineStr">
        <is>
          <t>Belo Horizonte</t>
        </is>
      </c>
      <c r="J52" s="9" t="inlineStr">
        <is>
          <t>MG</t>
        </is>
      </c>
      <c r="K52" s="11" t="inlineStr">
        <is>
          <t>Hospedagem</t>
        </is>
      </c>
      <c r="L52" s="11" t="inlineStr">
        <is>
          <t>Hospedagem rodada de negócios MG</t>
        </is>
      </c>
      <c r="M52" s="12" t="n">
        <v>495</v>
      </c>
      <c r="N52" s="11" t="inlineStr">
        <is>
          <t>Cartão Corporativo</t>
        </is>
      </c>
      <c r="O52" s="9" t="inlineStr">
        <is>
          <t>Sim</t>
        </is>
      </c>
      <c r="P52" s="9" t="inlineStr">
        <is>
          <t>NF-44120</t>
        </is>
      </c>
      <c r="Q52" s="8" t="inlineStr">
        <is>
          <t>Aprovado</t>
        </is>
      </c>
      <c r="R52" s="10" t="n">
        <v>46105</v>
      </c>
      <c r="S52" s="11" t="inlineStr">
        <is>
          <t>Roberto Alves</t>
        </is>
      </c>
      <c r="T52" s="11" t="inlineStr">
        <is>
          <t>Dentro do limite</t>
        </is>
      </c>
    </row>
    <row r="53" ht="20" customHeight="1">
      <c r="A53" s="4" t="inlineStr">
        <is>
          <t>SOL-2026-049</t>
        </is>
      </c>
      <c r="B53" s="5" t="n">
        <v>46105</v>
      </c>
      <c r="C53" s="5" t="n">
        <v>46105</v>
      </c>
      <c r="D53" s="6" t="inlineStr">
        <is>
          <t>Rafael Almeida</t>
        </is>
      </c>
      <c r="E53" s="4" t="inlineStr">
        <is>
          <t>VP-1201</t>
        </is>
      </c>
      <c r="F53" s="6" t="inlineStr">
        <is>
          <t>Compliance</t>
        </is>
      </c>
      <c r="G53" s="6" t="inlineStr">
        <is>
          <t>Gustavo Carvalho</t>
        </is>
      </c>
      <c r="H53" s="4" t="inlineStr">
        <is>
          <t>CC501</t>
        </is>
      </c>
      <c r="I53" s="6" t="inlineStr">
        <is>
          <t>São Paulo</t>
        </is>
      </c>
      <c r="J53" s="4" t="inlineStr">
        <is>
          <t>SP</t>
        </is>
      </c>
      <c r="K53" s="6" t="inlineStr">
        <is>
          <t>Estacionamento</t>
        </is>
      </c>
      <c r="L53" s="6" t="inlineStr">
        <is>
          <t>Estacionamento reunião externa de conformidade</t>
        </is>
      </c>
      <c r="M53" s="7" t="n">
        <v>50</v>
      </c>
      <c r="N53" s="6" t="inlineStr">
        <is>
          <t>Reembolso</t>
        </is>
      </c>
      <c r="O53" s="4" t="inlineStr">
        <is>
          <t>Sim</t>
        </is>
      </c>
      <c r="P53" s="4" t="inlineStr">
        <is>
          <t>NF-11049</t>
        </is>
      </c>
      <c r="Q53" s="8" t="inlineStr">
        <is>
          <t>Aprovado</t>
        </is>
      </c>
      <c r="R53" s="5" t="n">
        <v>46106</v>
      </c>
      <c r="S53" s="6" t="inlineStr">
        <is>
          <t>Gustavo Carvalho</t>
        </is>
      </c>
      <c r="T53" s="6" t="inlineStr">
        <is>
          <t>Aprovado</t>
        </is>
      </c>
    </row>
    <row r="54" ht="20" customHeight="1">
      <c r="A54" s="9" t="inlineStr">
        <is>
          <t>SOL-2026-050</t>
        </is>
      </c>
      <c r="B54" s="10" t="n">
        <v>46106</v>
      </c>
      <c r="C54" s="10" t="n">
        <v>46106</v>
      </c>
      <c r="D54" s="11" t="inlineStr">
        <is>
          <t>Juliana Martins</t>
        </is>
      </c>
      <c r="E54" s="9" t="inlineStr">
        <is>
          <t>VP-1055</t>
        </is>
      </c>
      <c r="F54" s="11" t="inlineStr">
        <is>
          <t>Comunicação</t>
        </is>
      </c>
      <c r="G54" s="11" t="inlineStr">
        <is>
          <t>Vanessa Souza</t>
        </is>
      </c>
      <c r="H54" s="9" t="inlineStr">
        <is>
          <t>CC601</t>
        </is>
      </c>
      <c r="I54" s="11" t="inlineStr">
        <is>
          <t>São Paulo</t>
        </is>
      </c>
      <c r="J54" s="9" t="inlineStr">
        <is>
          <t>SP</t>
        </is>
      </c>
      <c r="K54" s="11" t="inlineStr">
        <is>
          <t>Passagem Rodoviária</t>
        </is>
      </c>
      <c r="L54" s="11" t="inlineStr">
        <is>
          <t>Viagem para evento regional de imprensa em Campinas</t>
        </is>
      </c>
      <c r="M54" s="12" t="n">
        <v>115</v>
      </c>
      <c r="N54" s="11" t="inlineStr">
        <is>
          <t>Reembolso</t>
        </is>
      </c>
      <c r="O54" s="9" t="inlineStr">
        <is>
          <t>Sim</t>
        </is>
      </c>
      <c r="P54" s="9" t="inlineStr">
        <is>
          <t>NF-66201</t>
        </is>
      </c>
      <c r="Q54" s="14" t="inlineStr">
        <is>
          <t>Pendente</t>
        </is>
      </c>
      <c r="R54" s="11" t="inlineStr">
        <is>
          <t>-</t>
        </is>
      </c>
      <c r="S54" s="11" t="inlineStr">
        <is>
          <t>-</t>
        </is>
      </c>
      <c r="T54" s="11" t="inlineStr">
        <is>
          <t>Aguardando aprovação final</t>
        </is>
      </c>
    </row>
    <row r="55">
      <c r="L55" s="15" t="inlineStr">
        <is>
          <t>Total Geral:</t>
        </is>
      </c>
      <c r="M55" s="16">
        <f>SUM(M5:M54)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20" customWidth="1" min="4" max="4"/>
  </cols>
  <sheetData>
    <row r="1">
      <c r="A1" s="1" t="inlineStr">
        <is>
          <t>Vida Plena S.A. — Tabela de Centros de Custos</t>
        </is>
      </c>
    </row>
    <row r="2">
      <c r="A2" s="2" t="inlineStr">
        <is>
          <t>Estrutura Organizacional e Gestão de Custos por Departamento</t>
        </is>
      </c>
    </row>
    <row r="3"/>
    <row r="4" ht="25" customHeight="1">
      <c r="A4" s="3" t="inlineStr">
        <is>
          <t>Código</t>
        </is>
      </c>
      <c r="B4" s="3" t="inlineStr">
        <is>
          <t>Centro de Custo</t>
        </is>
      </c>
      <c r="C4" s="3" t="inlineStr">
        <is>
          <t>Departamento</t>
        </is>
      </c>
      <c r="D4" s="3" t="inlineStr">
        <is>
          <t>Responsável</t>
        </is>
      </c>
    </row>
    <row r="5" ht="20" customHeight="1">
      <c r="A5" s="4" t="inlineStr">
        <is>
          <t>CC101</t>
        </is>
      </c>
      <c r="B5" s="6" t="inlineStr">
        <is>
          <t>Vendas Nacionais</t>
        </is>
      </c>
      <c r="C5" s="6" t="inlineStr">
        <is>
          <t>Comercial</t>
        </is>
      </c>
      <c r="D5" s="6" t="inlineStr">
        <is>
          <t>Roberto Alves</t>
        </is>
      </c>
    </row>
    <row r="6" ht="20" customHeight="1">
      <c r="A6" s="9" t="inlineStr">
        <is>
          <t>CC102</t>
        </is>
      </c>
      <c r="B6" s="11" t="inlineStr">
        <is>
          <t>Novos Negócios &amp; Expansion</t>
        </is>
      </c>
      <c r="C6" s="11" t="inlineStr">
        <is>
          <t>Comercial</t>
        </is>
      </c>
      <c r="D6" s="11" t="inlineStr">
        <is>
          <t>Roberto Alves</t>
        </is>
      </c>
    </row>
    <row r="7" ht="20" customHeight="1">
      <c r="A7" s="4" t="inlineStr">
        <is>
          <t>CC201</t>
        </is>
      </c>
      <c r="B7" s="6" t="inlineStr">
        <is>
          <t>Infraestrutura &amp; Cloud</t>
        </is>
      </c>
      <c r="C7" s="6" t="inlineStr">
        <is>
          <t>TI</t>
        </is>
      </c>
      <c r="D7" s="6" t="inlineStr">
        <is>
          <t>Beatriz Lima</t>
        </is>
      </c>
    </row>
    <row r="8" ht="20" customHeight="1">
      <c r="A8" s="9" t="inlineStr">
        <is>
          <t>CC202</t>
        </is>
      </c>
      <c r="B8" s="11" t="inlineStr">
        <is>
          <t>Sistemas &amp; Desenvolvimento</t>
        </is>
      </c>
      <c r="C8" s="11" t="inlineStr">
        <is>
          <t>TI</t>
        </is>
      </c>
      <c r="D8" s="11" t="inlineStr">
        <is>
          <t>Beatriz Lima</t>
        </is>
      </c>
    </row>
    <row r="9" ht="20" customHeight="1">
      <c r="A9" s="4" t="inlineStr">
        <is>
          <t>CC301</t>
        </is>
      </c>
      <c r="B9" s="6" t="inlineStr">
        <is>
          <t>Controladoria &amp; Contabilidade</t>
        </is>
      </c>
      <c r="C9" s="6" t="inlineStr">
        <is>
          <t>Financeiro</t>
        </is>
      </c>
      <c r="D9" s="6" t="inlineStr">
        <is>
          <t>Fernando Rocha</t>
        </is>
      </c>
    </row>
    <row r="10" ht="20" customHeight="1">
      <c r="A10" s="9" t="inlineStr">
        <is>
          <t>CC302</t>
        </is>
      </c>
      <c r="B10" s="11" t="inlineStr">
        <is>
          <t>Tesouraria &amp; Planejamento</t>
        </is>
      </c>
      <c r="C10" s="11" t="inlineStr">
        <is>
          <t>Financeiro</t>
        </is>
      </c>
      <c r="D10" s="11" t="inlineStr">
        <is>
          <t>Fernando Rocha</t>
        </is>
      </c>
    </row>
    <row r="11" ht="20" customHeight="1">
      <c r="A11" s="4" t="inlineStr">
        <is>
          <t>CC401</t>
        </is>
      </c>
      <c r="B11" s="6" t="inlineStr">
        <is>
          <t>Atração &amp; Seleção</t>
        </is>
      </c>
      <c r="C11" s="6" t="inlineStr">
        <is>
          <t>RH</t>
        </is>
      </c>
      <c r="D11" s="6" t="inlineStr">
        <is>
          <t>Patricia Mendes</t>
        </is>
      </c>
    </row>
    <row r="12" ht="20" customHeight="1">
      <c r="A12" s="9" t="inlineStr">
        <is>
          <t>CC402</t>
        </is>
      </c>
      <c r="B12" s="11" t="inlineStr">
        <is>
          <t>Desenvolvimento &amp; Cultura</t>
        </is>
      </c>
      <c r="C12" s="11" t="inlineStr">
        <is>
          <t>RH</t>
        </is>
      </c>
      <c r="D12" s="11" t="inlineStr">
        <is>
          <t>Patricia Mendes</t>
        </is>
      </c>
    </row>
    <row r="13" ht="20" customHeight="1">
      <c r="A13" s="4" t="inlineStr">
        <is>
          <t>CC501</t>
        </is>
      </c>
      <c r="B13" s="6" t="inlineStr">
        <is>
          <t>Compliance &amp; Jurídico</t>
        </is>
      </c>
      <c r="C13" s="6" t="inlineStr">
        <is>
          <t>Compliance</t>
        </is>
      </c>
      <c r="D13" s="6" t="inlineStr">
        <is>
          <t>Gustavo Carvalho</t>
        </is>
      </c>
    </row>
    <row r="14" ht="20" customHeight="1">
      <c r="A14" s="9" t="inlineStr">
        <is>
          <t>CC502</t>
        </is>
      </c>
      <c r="B14" s="11" t="inlineStr">
        <is>
          <t>Auditoria Interna &amp; Riscos</t>
        </is>
      </c>
      <c r="C14" s="11" t="inlineStr">
        <is>
          <t>Compliance</t>
        </is>
      </c>
      <c r="D14" s="11" t="inlineStr">
        <is>
          <t>Gustavo Carvalho</t>
        </is>
      </c>
    </row>
    <row r="15" ht="20" customHeight="1">
      <c r="A15" s="4" t="inlineStr">
        <is>
          <t>CC601</t>
        </is>
      </c>
      <c r="B15" s="6" t="inlineStr">
        <is>
          <t>Comunicação Interna &amp; Mídia</t>
        </is>
      </c>
      <c r="C15" s="6" t="inlineStr">
        <is>
          <t>Comunicação</t>
        </is>
      </c>
      <c r="D15" s="6" t="inlineStr">
        <is>
          <t>Vanessa Souza</t>
        </is>
      </c>
    </row>
    <row r="16" ht="20" customHeight="1">
      <c r="A16" s="9" t="inlineStr">
        <is>
          <t>CC602</t>
        </is>
      </c>
      <c r="B16" s="11" t="inlineStr">
        <is>
          <t>Marketing Institucional</t>
        </is>
      </c>
      <c r="C16" s="11" t="inlineStr">
        <is>
          <t>Comunicação</t>
        </is>
      </c>
      <c r="D16" s="11" t="inlineStr">
        <is>
          <t>Vanessa Souza</t>
        </is>
      </c>
    </row>
    <row r="17" ht="20" customHeight="1">
      <c r="A17" s="4" t="inlineStr">
        <is>
          <t>CC701</t>
        </is>
      </c>
      <c r="B17" s="6" t="inlineStr">
        <is>
          <t>Operações &amp; Logística</t>
        </is>
      </c>
      <c r="C17" s="6" t="inlineStr">
        <is>
          <t>Operações</t>
        </is>
      </c>
      <c r="D17" s="6" t="inlineStr">
        <is>
          <t>Ricardo Torres</t>
        </is>
      </c>
    </row>
    <row r="18" ht="20" customHeight="1">
      <c r="A18" s="9" t="inlineStr">
        <is>
          <t>CC702</t>
        </is>
      </c>
      <c r="B18" s="11" t="inlineStr">
        <is>
          <t>Serviços Gerais &amp; Facilities</t>
        </is>
      </c>
      <c r="C18" s="11" t="inlineStr">
        <is>
          <t>Operações</t>
        </is>
      </c>
      <c r="D18" s="11" t="inlineStr">
        <is>
          <t>Ricardo Torres</t>
        </is>
      </c>
    </row>
    <row r="19" ht="20" customHeight="1">
      <c r="A19" s="4" t="inlineStr">
        <is>
          <t>CC801</t>
        </is>
      </c>
      <c r="B19" s="6" t="inlineStr">
        <is>
          <t>Pesquisa &amp; Desenvolvimento</t>
        </is>
      </c>
      <c r="C19" s="6" t="inlineStr">
        <is>
          <t>P&amp;D</t>
        </is>
      </c>
      <c r="D19" s="6" t="inlineStr">
        <is>
          <t>Helena Castro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42" customWidth="1" min="4" max="4"/>
  </cols>
  <sheetData>
    <row r="1">
      <c r="A1" s="1" t="inlineStr">
        <is>
          <t>Vida Plena S.A. — Política de Limites de Reembolso</t>
        </is>
      </c>
    </row>
    <row r="2">
      <c r="A2" s="2" t="inlineStr">
        <is>
          <t>Diretrizes e Teto Máximo Permitido por Categoria de Despesa</t>
        </is>
      </c>
    </row>
    <row r="3"/>
    <row r="4" ht="25" customHeight="1">
      <c r="A4" s="3" t="inlineStr">
        <is>
          <t>Tipo de Despesa</t>
        </is>
      </c>
      <c r="B4" s="3" t="inlineStr">
        <is>
          <t>Limite Máximo (R$)</t>
        </is>
      </c>
      <c r="C4" s="3" t="inlineStr">
        <is>
          <t>Necessita Aprovação Especial</t>
        </is>
      </c>
      <c r="D4" s="3" t="inlineStr">
        <is>
          <t>Documento Obrigatório</t>
        </is>
      </c>
    </row>
    <row r="5" ht="20" customHeight="1">
      <c r="A5" s="6" t="inlineStr">
        <is>
          <t>Alimentação</t>
        </is>
      </c>
      <c r="B5" s="7" t="n">
        <v>120</v>
      </c>
      <c r="C5" s="4" t="inlineStr">
        <is>
          <t>Não</t>
        </is>
      </c>
      <c r="D5" s="6" t="inlineStr">
        <is>
          <t>Nota Fiscal / Cupom Fiscal Detalhado</t>
        </is>
      </c>
    </row>
    <row r="6" ht="20" customHeight="1">
      <c r="A6" s="11" t="inlineStr">
        <is>
          <t>Hospedagem</t>
        </is>
      </c>
      <c r="B6" s="12" t="n">
        <v>500</v>
      </c>
      <c r="C6" s="9" t="inlineStr">
        <is>
          <t>Sim</t>
        </is>
      </c>
      <c r="D6" s="11" t="inlineStr">
        <is>
          <t>Nota Fiscal Hoteleira Discriminada</t>
        </is>
      </c>
    </row>
    <row r="7" ht="20" customHeight="1">
      <c r="A7" s="6" t="inlineStr">
        <is>
          <t>Passagem Aérea</t>
        </is>
      </c>
      <c r="B7" s="7" t="n">
        <v>1500</v>
      </c>
      <c r="C7" s="4" t="inlineStr">
        <is>
          <t>Sim</t>
        </is>
      </c>
      <c r="D7" s="6" t="inlineStr">
        <is>
          <t>Bilhete de Passagem + E-ticket</t>
        </is>
      </c>
    </row>
    <row r="8" ht="20" customHeight="1">
      <c r="A8" s="11" t="inlineStr">
        <is>
          <t>Passagem Rodoviária</t>
        </is>
      </c>
      <c r="B8" s="12" t="n">
        <v>250</v>
      </c>
      <c r="C8" s="9" t="inlineStr">
        <is>
          <t>Não</t>
        </is>
      </c>
      <c r="D8" s="11" t="inlineStr">
        <is>
          <t>Bilhete de Passagem Rodoviário</t>
        </is>
      </c>
    </row>
    <row r="9" ht="20" customHeight="1">
      <c r="A9" s="6" t="inlineStr">
        <is>
          <t>Combustível</t>
        </is>
      </c>
      <c r="B9" s="7" t="n">
        <v>300</v>
      </c>
      <c r="C9" s="4" t="inlineStr">
        <is>
          <t>Não</t>
        </is>
      </c>
      <c r="D9" s="6" t="inlineStr">
        <is>
          <t>Cupom Fiscal + Relatório de KM</t>
        </is>
      </c>
    </row>
    <row r="10" ht="20" customHeight="1">
      <c r="A10" s="11" t="inlineStr">
        <is>
          <t>Estacionamento</t>
        </is>
      </c>
      <c r="B10" s="12" t="n">
        <v>80</v>
      </c>
      <c r="C10" s="9" t="inlineStr">
        <is>
          <t>Não</t>
        </is>
      </c>
      <c r="D10" s="11" t="inlineStr">
        <is>
          <t>Comprovante / Recibo de Estacionamento</t>
        </is>
      </c>
    </row>
    <row r="11" ht="20" customHeight="1">
      <c r="A11" s="6" t="inlineStr">
        <is>
          <t>Táxi</t>
        </is>
      </c>
      <c r="B11" s="7" t="n">
        <v>100</v>
      </c>
      <c r="C11" s="4" t="inlineStr">
        <is>
          <t>Não</t>
        </is>
      </c>
      <c r="D11" s="6" t="inlineStr">
        <is>
          <t>Recibo / Nota Fiscal de Serviço</t>
        </is>
      </c>
    </row>
    <row r="12" ht="20" customHeight="1">
      <c r="A12" s="11" t="inlineStr">
        <is>
          <t>Uber</t>
        </is>
      </c>
      <c r="B12" s="12" t="n">
        <v>150</v>
      </c>
      <c r="C12" s="9" t="inlineStr">
        <is>
          <t>Não</t>
        </is>
      </c>
      <c r="D12" s="11" t="inlineStr">
        <is>
          <t>Recibo do Aplicativo em PDF</t>
        </is>
      </c>
    </row>
    <row r="13" ht="20" customHeight="1">
      <c r="A13" s="6" t="inlineStr">
        <is>
          <t>Pedágio</t>
        </is>
      </c>
      <c r="B13" s="7" t="n">
        <v>60</v>
      </c>
      <c r="C13" s="4" t="inlineStr">
        <is>
          <t>Não</t>
        </is>
      </c>
      <c r="D13" s="6" t="inlineStr">
        <is>
          <t>Comprovante do Pedágio / Extrato Sem Parar</t>
        </is>
      </c>
    </row>
    <row r="14" ht="20" customHeight="1">
      <c r="A14" s="11" t="inlineStr">
        <is>
          <t>Material de Escritório</t>
        </is>
      </c>
      <c r="B14" s="12" t="n">
        <v>200</v>
      </c>
      <c r="C14" s="9" t="inlineStr">
        <is>
          <t>Não</t>
        </is>
      </c>
      <c r="D14" s="11" t="inlineStr">
        <is>
          <t>Nota Fiscal com CNPJ da Empresa</t>
        </is>
      </c>
    </row>
    <row r="15" ht="20" customHeight="1">
      <c r="A15" s="6" t="inlineStr">
        <is>
          <t>Cursos</t>
        </is>
      </c>
      <c r="B15" s="7" t="n">
        <v>2000</v>
      </c>
      <c r="C15" s="4" t="inlineStr">
        <is>
          <t>Sim</t>
        </is>
      </c>
      <c r="D15" s="6" t="inlineStr">
        <is>
          <t>Nota Fiscal + Certificado de Conclusão</t>
        </is>
      </c>
    </row>
    <row r="16" ht="20" customHeight="1">
      <c r="A16" s="11" t="inlineStr">
        <is>
          <t>Eventos Corporativos</t>
        </is>
      </c>
      <c r="B16" s="12" t="n">
        <v>2500</v>
      </c>
      <c r="C16" s="9" t="inlineStr">
        <is>
          <t>Sim</t>
        </is>
      </c>
      <c r="D16" s="11" t="inlineStr">
        <is>
          <t>Nota Fiscal + Convite / Folder do Evento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4" customWidth="1" min="3" max="3"/>
    <col width="25" customWidth="1" min="4" max="4"/>
    <col width="18" customWidth="1" min="5" max="5"/>
    <col width="20" customWidth="1" min="6" max="6"/>
    <col width="4" customWidth="1" min="7" max="7"/>
    <col width="12" customWidth="1" min="8" max="8"/>
  </cols>
  <sheetData>
    <row r="1">
      <c r="A1" s="1" t="inlineStr">
        <is>
          <t>Vida Plena S.A. — Painel Executivo de Prestação de Contas</t>
        </is>
      </c>
    </row>
    <row r="2">
      <c r="A2" s="2" t="inlineStr">
        <is>
          <t>Indicadores Geral de Reembolsos e Visão Consolidada</t>
        </is>
      </c>
    </row>
    <row r="3"/>
    <row r="4">
      <c r="A4" s="17" t="inlineStr">
        <is>
          <t>Total de Solicitações</t>
        </is>
      </c>
      <c r="B4" s="18" t="n"/>
      <c r="C4" s="17" t="inlineStr">
        <is>
          <t>Total Aprovado (Qtd)</t>
        </is>
      </c>
      <c r="D4" s="18" t="n"/>
      <c r="E4" s="17" t="inlineStr">
        <is>
          <t>Total Rejeitado (Qtd)</t>
        </is>
      </c>
      <c r="F4" s="18" t="n"/>
      <c r="G4" s="17" t="inlineStr">
        <is>
          <t>Total Pendente (Qtd)</t>
        </is>
      </c>
      <c r="H4" s="18" t="n"/>
    </row>
    <row r="5">
      <c r="A5" s="19">
        <f>COUNTA('Prestação de Contas'!A5:A54)</f>
        <v/>
      </c>
      <c r="B5" s="18" t="n"/>
      <c r="C5" s="19">
        <f>COUNTIF('Prestação de Contas'!Q5:Q54, "Aprovado")</f>
        <v/>
      </c>
      <c r="D5" s="18" t="n"/>
      <c r="E5" s="19">
        <f>COUNTIF('Prestação de Contas'!Q5:Q54, "Rejeitado")</f>
        <v/>
      </c>
      <c r="F5" s="18" t="n"/>
      <c r="G5" s="19">
        <f>COUNTIF('Prestação de Contas'!Q5:Q54, "Pendente")</f>
        <v/>
      </c>
      <c r="H5" s="18" t="n"/>
    </row>
    <row r="6"/>
    <row r="7">
      <c r="A7" s="17" t="inlineStr">
        <is>
          <t>Valor Total Solicitado</t>
        </is>
      </c>
      <c r="B7" s="18" t="n"/>
      <c r="C7" s="17" t="inlineStr">
        <is>
          <t>Valor Total Aprovado</t>
        </is>
      </c>
      <c r="D7" s="18" t="n"/>
      <c r="E7" s="17" t="inlineStr">
        <is>
          <t>Valor Total Rejeitado</t>
        </is>
      </c>
      <c r="F7" s="18" t="n"/>
      <c r="G7" s="17" t="inlineStr">
        <is>
          <t>Média por Solicitação</t>
        </is>
      </c>
      <c r="H7" s="18" t="n"/>
    </row>
    <row r="8">
      <c r="A8" s="20">
        <f>SUM('Prestação de Contas'!M5:M54)</f>
        <v/>
      </c>
      <c r="B8" s="18" t="n"/>
      <c r="C8" s="20">
        <f>SUMIF('Prestação de Contas'!Q5:Q54, "Aprovado", 'Prestação de Contas'!M5:M54)</f>
        <v/>
      </c>
      <c r="D8" s="18" t="n"/>
      <c r="E8" s="20">
        <f>SUMIF('Prestação de Contas'!Q5:Q54, "Rejeitado", 'Prestação de Contas'!M5:M54)</f>
        <v/>
      </c>
      <c r="F8" s="18" t="n"/>
      <c r="G8" s="20">
        <f>AVERAGE('Prestação de Contas'!M5:M54)</f>
        <v/>
      </c>
      <c r="H8" s="18" t="n"/>
    </row>
    <row r="9"/>
    <row r="10">
      <c r="A10" s="21" t="inlineStr">
        <is>
          <t>Destaques &amp; Métricas Chave</t>
        </is>
      </c>
    </row>
    <row r="11">
      <c r="A11" s="22" t="inlineStr">
        <is>
          <t>Métrica</t>
        </is>
      </c>
      <c r="B11" s="22" t="inlineStr">
        <is>
          <t>Resultado</t>
        </is>
      </c>
    </row>
    <row r="12">
      <c r="A12" s="23" t="inlineStr">
        <is>
          <t>Departamento com Maior Gasto</t>
        </is>
      </c>
      <c r="B12" s="11">
        <f>INDEX(A15:A20, MATCH(MAX(B15:B20), B15:B20, 0))</f>
        <v/>
      </c>
    </row>
    <row r="13">
      <c r="A13" s="24" t="inlineStr">
        <is>
          <t>Tipo de Despesa Mais Frequente</t>
        </is>
      </c>
      <c r="B13" s="6">
        <f>INDEX(D15:D26, MATCH(MAX(E15:E26), E15:E26, 0))</f>
        <v/>
      </c>
    </row>
    <row r="14">
      <c r="A14" s="25" t="inlineStr">
        <is>
          <t>Departamento</t>
        </is>
      </c>
      <c r="B14" s="26" t="inlineStr">
        <is>
          <t>Total Gasto (R$)</t>
        </is>
      </c>
      <c r="D14" s="27" t="inlineStr">
        <is>
          <t>Tipo de Despesa</t>
        </is>
      </c>
      <c r="E14" s="27" t="inlineStr">
        <is>
          <t>Qtd. Solicitações</t>
        </is>
      </c>
      <c r="F14" s="27" t="inlineStr">
        <is>
          <t>Total Gasto (R$)</t>
        </is>
      </c>
    </row>
    <row r="15">
      <c r="A15" s="28" t="inlineStr">
        <is>
          <t>Comercial</t>
        </is>
      </c>
      <c r="B15" s="29">
        <f>SUMIF('Prestação de Contas'!F5:F54, "Comercial", 'Prestação de Contas'!M5:M54)</f>
        <v/>
      </c>
      <c r="D15" s="28" t="inlineStr">
        <is>
          <t>Alimentação</t>
        </is>
      </c>
      <c r="E15" s="30">
        <f>COUNTIF('Prestação de Contas'!K5:K54, "Alimentação")</f>
        <v/>
      </c>
      <c r="F15" s="29">
        <f>SUMIF('Prestação de Contas'!K5:K54, "Alimentação", 'Prestação de Contas'!M5:M54)</f>
        <v/>
      </c>
    </row>
    <row r="16">
      <c r="A16" s="28" t="inlineStr">
        <is>
          <t>TI</t>
        </is>
      </c>
      <c r="B16" s="29">
        <f>SUMIF('Prestação de Contas'!F5:F54, "TI", 'Prestação de Contas'!M5:M54)</f>
        <v/>
      </c>
      <c r="D16" s="28" t="inlineStr">
        <is>
          <t>Hospedagem</t>
        </is>
      </c>
      <c r="E16" s="30">
        <f>COUNTIF('Prestação de Contas'!K5:K54, "Hospedagem")</f>
        <v/>
      </c>
      <c r="F16" s="29">
        <f>SUMIF('Prestação de Contas'!K5:K54, "Hospedagem", 'Prestação de Contas'!M5:M54)</f>
        <v/>
      </c>
    </row>
    <row r="17">
      <c r="A17" s="28" t="inlineStr">
        <is>
          <t>Financeiro</t>
        </is>
      </c>
      <c r="B17" s="29">
        <f>SUMIF('Prestação de Contas'!F5:F54, "Financeiro", 'Prestação de Contas'!M5:M54)</f>
        <v/>
      </c>
      <c r="D17" s="28" t="inlineStr">
        <is>
          <t>Passagem aérea</t>
        </is>
      </c>
      <c r="E17" s="30">
        <f>COUNTIF('Prestação de Contas'!K5:K54, "Passagem aérea")</f>
        <v/>
      </c>
      <c r="F17" s="29">
        <f>SUMIF('Prestação de Contas'!K5:K54, "Passagem aérea", 'Prestação de Contas'!M5:M54)</f>
        <v/>
      </c>
    </row>
    <row r="18">
      <c r="A18" s="28" t="inlineStr">
        <is>
          <t>RH</t>
        </is>
      </c>
      <c r="B18" s="29">
        <f>SUMIF('Prestação de Contas'!F5:F54, "RH", 'Prestação de Contas'!M5:M54)</f>
        <v/>
      </c>
      <c r="D18" s="28" t="inlineStr">
        <is>
          <t>Passagem rodoviária</t>
        </is>
      </c>
      <c r="E18" s="30">
        <f>COUNTIF('Prestação de Contas'!K5:K54, "Passagem rodoviária")</f>
        <v/>
      </c>
      <c r="F18" s="29">
        <f>SUMIF('Prestação de Contas'!K5:K54, "Passagem rodoviária", 'Prestação de Contas'!M5:M54)</f>
        <v/>
      </c>
    </row>
    <row r="19">
      <c r="A19" s="28" t="inlineStr">
        <is>
          <t>Compliance</t>
        </is>
      </c>
      <c r="B19" s="29">
        <f>SUMIF('Prestação de Contas'!F5:F54, "Compliance", 'Prestação de Contas'!M5:M54)</f>
        <v/>
      </c>
      <c r="D19" s="28" t="inlineStr">
        <is>
          <t>Combustível</t>
        </is>
      </c>
      <c r="E19" s="30">
        <f>COUNTIF('Prestação de Contas'!K5:K54, "Combustível")</f>
        <v/>
      </c>
      <c r="F19" s="29">
        <f>SUMIF('Prestação de Contas'!K5:K54, "Combustível", 'Prestação de Contas'!M5:M54)</f>
        <v/>
      </c>
    </row>
    <row r="20">
      <c r="A20" s="28" t="inlineStr">
        <is>
          <t>Comunicação</t>
        </is>
      </c>
      <c r="B20" s="29">
        <f>SUMIF('Prestação de Contas'!F5:F54, "Comunicação", 'Prestação de Contas'!M5:M54)</f>
        <v/>
      </c>
      <c r="D20" s="28" t="inlineStr">
        <is>
          <t>Estacionamento</t>
        </is>
      </c>
      <c r="E20" s="30">
        <f>COUNTIF('Prestação de Contas'!K5:K54, "Estacionamento")</f>
        <v/>
      </c>
      <c r="F20" s="29">
        <f>SUMIF('Prestação de Contas'!K5:K54, "Estacionamento", 'Prestação de Contas'!M5:M54)</f>
        <v/>
      </c>
    </row>
    <row r="21">
      <c r="D21" s="28" t="inlineStr">
        <is>
          <t>Táxi</t>
        </is>
      </c>
      <c r="E21" s="30">
        <f>COUNTIF('Prestação de Contas'!K5:K54, "Táxi")</f>
        <v/>
      </c>
      <c r="F21" s="29">
        <f>SUMIF('Prestação de Contas'!K5:K54, "Táxi", 'Prestação de Contas'!M5:M54)</f>
        <v/>
      </c>
    </row>
    <row r="22">
      <c r="A22" s="27" t="inlineStr">
        <is>
          <t>Status</t>
        </is>
      </c>
      <c r="B22" s="27" t="inlineStr">
        <is>
          <t>Qtd</t>
        </is>
      </c>
      <c r="D22" s="28" t="inlineStr">
        <is>
          <t>Uber</t>
        </is>
      </c>
      <c r="E22" s="30">
        <f>COUNTIF('Prestação de Contas'!K5:K54, "Uber")</f>
        <v/>
      </c>
      <c r="F22" s="29">
        <f>SUMIF('Prestação de Contas'!K5:K54, "Uber", 'Prestação de Contas'!M5:M54)</f>
        <v/>
      </c>
    </row>
    <row r="23">
      <c r="A23" s="28" t="inlineStr">
        <is>
          <t>Aprovado</t>
        </is>
      </c>
      <c r="B23" s="31">
        <f>COUNTIF('Prestação de Contas'!Q5:Q54, "Aprovado")</f>
        <v/>
      </c>
      <c r="D23" s="28" t="inlineStr">
        <is>
          <t>Pedágio</t>
        </is>
      </c>
      <c r="E23" s="30">
        <f>COUNTIF('Prestação de Contas'!K5:K54, "Pedágio")</f>
        <v/>
      </c>
      <c r="F23" s="29">
        <f>SUMIF('Prestação de Contas'!K5:K54, "Pedágio", 'Prestação de Contas'!M5:M54)</f>
        <v/>
      </c>
    </row>
    <row r="24">
      <c r="A24" s="28" t="inlineStr">
        <is>
          <t>Pendente</t>
        </is>
      </c>
      <c r="B24" s="31">
        <f>COUNTIF('Prestação de Contas'!Q5:Q54, "Pendente")</f>
        <v/>
      </c>
      <c r="D24" s="28" t="inlineStr">
        <is>
          <t>Material de escritório</t>
        </is>
      </c>
      <c r="E24" s="30">
        <f>COUNTIF('Prestação de Contas'!K5:K54, "Material de escritório")</f>
        <v/>
      </c>
      <c r="F24" s="29">
        <f>SUMIF('Prestação de Contas'!K5:K54, "Material de escritório", 'Prestação de Contas'!M5:M54)</f>
        <v/>
      </c>
    </row>
    <row r="25">
      <c r="A25" s="28" t="inlineStr">
        <is>
          <t>Rejeitado</t>
        </is>
      </c>
      <c r="B25" s="31">
        <f>COUNTIF('Prestação de Contas'!Q5:Q54, "Rejeitado")</f>
        <v/>
      </c>
      <c r="D25" s="28" t="inlineStr">
        <is>
          <t>Cursos</t>
        </is>
      </c>
      <c r="E25" s="30">
        <f>COUNTIF('Prestação de Contas'!K5:K54, "Cursos")</f>
        <v/>
      </c>
      <c r="F25" s="29">
        <f>SUMIF('Prestação de Contas'!K5:K54, "Cursos", 'Prestação de Contas'!M5:M54)</f>
        <v/>
      </c>
    </row>
    <row r="26">
      <c r="D26" s="28" t="inlineStr">
        <is>
          <t>Eventos corporativos</t>
        </is>
      </c>
      <c r="E26" s="30">
        <f>COUNTIF('Prestação de Contas'!K5:K54, "Eventos corporativos")</f>
        <v/>
      </c>
      <c r="F26" s="29">
        <f>SUMIF('Prestação de Contas'!K5:K54, "Eventos corporativos", 'Prestação de Contas'!M5:M54)</f>
        <v/>
      </c>
    </row>
  </sheetData>
  <mergeCells count="16">
    <mergeCell ref="A4:B4"/>
    <mergeCell ref="G4:H4"/>
    <mergeCell ref="E4:F4"/>
    <mergeCell ref="C7:D7"/>
    <mergeCell ref="A7:B7"/>
    <mergeCell ref="G7:H7"/>
    <mergeCell ref="E7:F7"/>
    <mergeCell ref="C5:D5"/>
    <mergeCell ref="A5:B5"/>
    <mergeCell ref="G5:H5"/>
    <mergeCell ref="E5:F5"/>
    <mergeCell ref="G8:H8"/>
    <mergeCell ref="A8:B8"/>
    <mergeCell ref="E8:F8"/>
    <mergeCell ref="C8:D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2026-07-22T19:06:39Z</dcterms:created>
  <dcterms:modified xmlns:dcterms="http://purl.org/dc/terms/" xmlns:xsi="http://www.w3.org/2001/XMLSchema-instance" xsi:type="dcterms:W3CDTF">2026-07-22T19:06:39Z</dcterms:modified>
</cp:coreProperties>
</file>